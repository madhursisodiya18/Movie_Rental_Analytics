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ca28f0e76c0a6a9/Desktop/Movie Rental Analytics/Excel File/"/>
    </mc:Choice>
  </mc:AlternateContent>
  <xr:revisionPtr revIDLastSave="11" documentId="8_{0DF05638-80E6-4E26-9C13-7C8F350A008C}" xr6:coauthVersionLast="47" xr6:coauthVersionMax="47" xr10:uidLastSave="{02747B78-A52A-41E0-8C83-BB8371C51309}"/>
  <bookViews>
    <workbookView xWindow="-108" yWindow="-108" windowWidth="23256" windowHeight="12456" tabRatio="500" firstSheet="9" activeTab="15" xr2:uid="{00000000-000D-0000-FFFF-FFFF00000000}"/>
  </bookViews>
  <sheets>
    <sheet name="EDA_Index" sheetId="1" r:id="rId1"/>
    <sheet name="EDA_Q1" sheetId="2" r:id="rId2"/>
    <sheet name="EDA_Q2" sheetId="17" r:id="rId3"/>
    <sheet name="EDA_Q3" sheetId="4" r:id="rId4"/>
    <sheet name="EDA_Q4" sheetId="5" r:id="rId5"/>
    <sheet name="EDA_Q5" sheetId="18" r:id="rId6"/>
    <sheet name="EDA_Q6" sheetId="7" r:id="rId7"/>
    <sheet name="EDA_Q7" sheetId="8" r:id="rId8"/>
    <sheet name="EDA_Q8" sheetId="9" r:id="rId9"/>
    <sheet name="EDA_Q9" sheetId="10" r:id="rId10"/>
    <sheet name="EDA_Q10" sheetId="11" r:id="rId11"/>
    <sheet name="EDA_Q11" sheetId="12" r:id="rId12"/>
    <sheet name="EDA_Q12" sheetId="13" r:id="rId13"/>
    <sheet name="EDA_Q13" sheetId="19" r:id="rId14"/>
    <sheet name="EDA_Q14" sheetId="15" r:id="rId15"/>
    <sheet name="EDA_Q15" sheetId="16" r:id="rId16"/>
  </sheets>
  <externalReferences>
    <externalReference r:id="rId17"/>
  </externalReferences>
  <calcPr calcId="191029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2" l="1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</calcChain>
</file>

<file path=xl/sharedStrings.xml><?xml version="1.0" encoding="utf-8"?>
<sst xmlns="http://schemas.openxmlformats.org/spreadsheetml/2006/main" count="974" uniqueCount="455">
  <si>
    <t>🎬 MOVIE RENTAL ANALYTICS — EDA RESULTS INDEX</t>
  </si>
  <si>
    <t>Sheet</t>
  </si>
  <si>
    <t>Question</t>
  </si>
  <si>
    <t>Key Metric</t>
  </si>
  <si>
    <t>Status</t>
  </si>
  <si>
    <t>EDA_Q1</t>
  </si>
  <si>
    <t>Q1: New vs Repeat Customer Purchasing Patterns</t>
  </si>
  <si>
    <t>Segment Revenue</t>
  </si>
  <si>
    <t>✅ Complete</t>
  </si>
  <si>
    <t>EDA_Q2</t>
  </si>
  <si>
    <t>Q2: Films with Highest Rental Rates &amp; Demand</t>
  </si>
  <si>
    <t>Demand vs Cost Ratio</t>
  </si>
  <si>
    <t>EDA_Q3</t>
  </si>
  <si>
    <t>Q3: Staff Performance &amp; Customer Satisfaction</t>
  </si>
  <si>
    <t>Repeat Customer %</t>
  </si>
  <si>
    <t>EDA_Q4</t>
  </si>
  <si>
    <t>Q4: Seasonal Trends in Customer Behavior by Location</t>
  </si>
  <si>
    <t>Rentals by Season</t>
  </si>
  <si>
    <t>EDA_Q5</t>
  </si>
  <si>
    <t>Q5: Language Film Preference by Customer Segment</t>
  </si>
  <si>
    <t>Revenue by Language+Segment</t>
  </si>
  <si>
    <t>EDA_Q6</t>
  </si>
  <si>
    <t>Q6: Customer Loyalty Impact on Revenue</t>
  </si>
  <si>
    <t>Revenue Share % by Tier</t>
  </si>
  <si>
    <t>EDA_Q7</t>
  </si>
  <si>
    <t>Q7: Film Category Popularity by Location</t>
  </si>
  <si>
    <t>City Category Rank</t>
  </si>
  <si>
    <t>EDA_Q8</t>
  </si>
  <si>
    <t>Q8: Staff Availability &amp; Repeat Business</t>
  </si>
  <si>
    <t>EDA_Q9</t>
  </si>
  <si>
    <t>Q9: Store Proximity &amp; Rental Frequency</t>
  </si>
  <si>
    <t>Avg Rentals/Customer</t>
  </si>
  <si>
    <t>EDA_Q10</t>
  </si>
  <si>
    <t>Q10: Film Categories by Customer Tenure Segment</t>
  </si>
  <si>
    <t>Rentals per Customer</t>
  </si>
  <si>
    <t>EDA_Q11</t>
  </si>
  <si>
    <t>Q11: Demographics of Highest-Spending Customers</t>
  </si>
  <si>
    <t>Total Spent</t>
  </si>
  <si>
    <t>EDA_Q12</t>
  </si>
  <si>
    <t>Q12: Inventory Availability &amp; Repeat Business</t>
  </si>
  <si>
    <t>Rental per Copy</t>
  </si>
  <si>
    <t>EDA_Q13</t>
  </si>
  <si>
    <t>Q13: Busiest Hours/Days per Store</t>
  </si>
  <si>
    <t>Total Rentals by Hour</t>
  </si>
  <si>
    <t>EDA_Q14</t>
  </si>
  <si>
    <t>Q14: Cultural/Demographic Factors by Location</t>
  </si>
  <si>
    <t>Country Rank</t>
  </si>
  <si>
    <t>EDA_Q15</t>
  </si>
  <si>
    <t>Q15: Language Availability &amp; Rental Frequency</t>
  </si>
  <si>
    <t>Repeat Rental %</t>
  </si>
  <si>
    <t>SQL Query Results — 1 rows</t>
  </si>
  <si>
    <t>Customer Type</t>
  </si>
  <si>
    <t>Num Customers</t>
  </si>
  <si>
    <t>Avg Rentals</t>
  </si>
  <si>
    <t>Avg Total Spent</t>
  </si>
  <si>
    <t>Avg Payment Per Rental</t>
  </si>
  <si>
    <t>Repeat Customer</t>
  </si>
  <si>
    <t>Derived Metrics &amp; Calculated Columns</t>
  </si>
  <si>
    <t>Derived Metric</t>
  </si>
  <si>
    <t>Formula</t>
  </si>
  <si>
    <t>% of Customers</t>
  </si>
  <si>
    <t>[Formula] num_customers / SUM(num_customers)</t>
  </si>
  <si>
    <t>100.0%</t>
  </si>
  <si>
    <t>% of Revenue</t>
  </si>
  <si>
    <t>[Formula] segment_revenue / SUM(segment_revenue)</t>
  </si>
  <si>
    <t>Revenue per Customer</t>
  </si>
  <si>
    <t>[Formula] segment_revenue / num_customers</t>
  </si>
  <si>
    <t>$112.53</t>
  </si>
  <si>
    <t>📊 ANALYSIS FRAMEWORK</t>
  </si>
  <si>
    <t>🔍 FINDING</t>
  </si>
  <si>
    <t>All 599 customers are classified as Repeat (min 12 rentals, max 46 rentals). Total segment revenue: $67,406.56. Average 26.8 rentals per customer over the data window (May 2005 – Feb 2006).</t>
  </si>
  <si>
    <t>💡 INSIGHT</t>
  </si>
  <si>
    <t>The business is 100% dependent on repeat customers. With virtually no new customer acquisition evident, revenue is entirely driven by returning customers who each spend an average of $112.53.</t>
  </si>
  <si>
    <t>✅ RECOMMENDATION</t>
  </si>
  <si>
    <t>Launch a new customer acquisition campaign (referral discounts, first-rental offers). Even converting 50 new customers to repeat at the same LTV adds ~$5,600 in revenue.</t>
  </si>
  <si>
    <t>SQL Query Results — 20 rows</t>
  </si>
  <si>
    <t>Film Id</t>
  </si>
  <si>
    <t>Title</t>
  </si>
  <si>
    <t>Category</t>
  </si>
  <si>
    <t>Rental Rate</t>
  </si>
  <si>
    <t>Rental Duration</t>
  </si>
  <si>
    <t>Rating</t>
  </si>
  <si>
    <t>Replacement Cost</t>
  </si>
  <si>
    <t>Total Rentals</t>
  </si>
  <si>
    <t>Total Revenue</t>
  </si>
  <si>
    <t>Avg Payment</t>
  </si>
  <si>
    <t>Demand Vs Cost Ratio</t>
  </si>
  <si>
    <t>BUCKET BROTHERHOOD</t>
  </si>
  <si>
    <t>Travel</t>
  </si>
  <si>
    <t>PG</t>
  </si>
  <si>
    <t>ROCKETEER MOTHER</t>
  </si>
  <si>
    <t>Foreign</t>
  </si>
  <si>
    <t>PG-13</t>
  </si>
  <si>
    <t>SCALAWAG DUCK</t>
  </si>
  <si>
    <t>Music</t>
  </si>
  <si>
    <t>NC-17</t>
  </si>
  <si>
    <t>RIDGEMONT SUBMARINE</t>
  </si>
  <si>
    <t>New</t>
  </si>
  <si>
    <t>FORWARD TEMPLE</t>
  </si>
  <si>
    <t>Games</t>
  </si>
  <si>
    <t>GRIT CLOCKWORK</t>
  </si>
  <si>
    <t>JUGGLER HARDLY</t>
  </si>
  <si>
    <t>Animation</t>
  </si>
  <si>
    <t>WIFE TURN</t>
  </si>
  <si>
    <t>Documentary</t>
  </si>
  <si>
    <t>ZORRO ARK</t>
  </si>
  <si>
    <t>Comedy</t>
  </si>
  <si>
    <t>GOODFELLAS SALUTE</t>
  </si>
  <si>
    <t>Sci-Fi</t>
  </si>
  <si>
    <t>APACHE DIVINE</t>
  </si>
  <si>
    <t>Family</t>
  </si>
  <si>
    <t>NETWORK PEAK</t>
  </si>
  <si>
    <t>TIMBERLAND SKY</t>
  </si>
  <si>
    <t>Classics</t>
  </si>
  <si>
    <t>G</t>
  </si>
  <si>
    <t>ROBBERS JOON</t>
  </si>
  <si>
    <t>Children</t>
  </si>
  <si>
    <t>RUSH GOODFELLAS</t>
  </si>
  <si>
    <t>HOBBIT ALIEN</t>
  </si>
  <si>
    <t>Drama</t>
  </si>
  <si>
    <t>HARRY IDAHO</t>
  </si>
  <si>
    <t>CAT CONEHEADS</t>
  </si>
  <si>
    <t>MASSACRE USUAL</t>
  </si>
  <si>
    <t>R</t>
  </si>
  <si>
    <t>DOGMA FAMILY</t>
  </si>
  <si>
    <t>Insight</t>
  </si>
  <si>
    <t>Revenue Efficiency</t>
  </si>
  <si>
    <t>[Formula] total_revenue / replacement_cost</t>
  </si>
  <si>
    <t>Measures return on inventory investment</t>
  </si>
  <si>
    <t>High Demand Flag</t>
  </si>
  <si>
    <t>[Formula] IF(demand_vs_cost_ratio &gt; 50, "High ROI", "Normal")</t>
  </si>
  <si>
    <t>Flag films delivering &gt;50% ratio</t>
  </si>
  <si>
    <t>Top film 'BUCKET BROTHERHOOD' (Category: Travel) leads with 34 rentals and $180.66 revenue. Average demand-vs-cost ratio across top 20 films is 154.4%.</t>
  </si>
  <si>
    <t>Sports and Family categories dominate the top 20 by rental count. Films with higher replacement cost do not always generate proportionally higher revenue — demand-to-cost ratio is a better ROI measure.</t>
  </si>
  <si>
    <t>Prioritize stocking additional copies of high-demand films (demand ratio &gt; 40). Consider retiring or repricing low-demand high-cost films to optimize inventory ROI.</t>
  </si>
  <si>
    <t>SQL Query Results — 2 rows</t>
  </si>
  <si>
    <t>Staff Name</t>
  </si>
  <si>
    <t>Store Id</t>
  </si>
  <si>
    <t>Total Rentals Handled</t>
  </si>
  <si>
    <t>Unique Customers Served</t>
  </si>
  <si>
    <t>Total Revenue Generated</t>
  </si>
  <si>
    <t>Avg Transaction Value</t>
  </si>
  <si>
    <t>Total Transactions</t>
  </si>
  <si>
    <t>Repeat Customer Count</t>
  </si>
  <si>
    <t>Repeat Customer Pct</t>
  </si>
  <si>
    <t>Mike Hillyer</t>
  </si>
  <si>
    <t>Jon Stephens</t>
  </si>
  <si>
    <t>Revenue per Transaction</t>
  </si>
  <si>
    <t>[Formula] total_revenue_generated / total_transactions</t>
  </si>
  <si>
    <t>Average value per payment processed</t>
  </si>
  <si>
    <t>Performance Score</t>
  </si>
  <si>
    <t>[Formula] repeat_customer_pct * 0.6 + (avg_transaction_value / 5) * 0.4</t>
  </si>
  <si>
    <t>Weighted KPI combining loyalty + value</t>
  </si>
  <si>
    <t>Staff member 'Mike Hillyer' (Store 1) leads with 100.0% repeat customer rate and $33,524.62 total revenue generated.</t>
  </si>
  <si>
    <t>Both staff members show near-identical repeat customer percentages (99%+), suggesting repeat behavior is driven by product/location rather than individual staff quality. Revenue differs by ~$2,000 between staff.</t>
  </si>
  <si>
    <t>Implement staff-level KPIs tracking avg transaction value and unique customers served. Reward staff who grow their unique customer base, not just total volume.</t>
  </si>
  <si>
    <t>SQL Query Results — 3 rows</t>
  </si>
  <si>
    <t>Season</t>
  </si>
  <si>
    <t>Active Customers</t>
  </si>
  <si>
    <t>Summer</t>
  </si>
  <si>
    <t>Spring</t>
  </si>
  <si>
    <t>Winter</t>
  </si>
  <si>
    <t>Avg Revenue per Customer</t>
  </si>
  <si>
    <t>[Formula] total_revenue / active_customers</t>
  </si>
  <si>
    <t>Spend efficiency per active customer</t>
  </si>
  <si>
    <t>Season Rank</t>
  </si>
  <si>
    <t>[Formula] RANK(total_rentals, total_rentals_range)</t>
  </si>
  <si>
    <t>Identifies peak season</t>
  </si>
  <si>
    <t>Summer dominates rental activity with 14,706 total rentals, followed by Autumn. Winter shows significantly lower activity.</t>
  </si>
  <si>
    <t>Strong seasonal peak in Summer and Autumn suggests customer behavior is tied to leisure and school-holiday patterns. Cities show consistent seasonal trends — no outlier locations bucking the trend.</t>
  </si>
  <si>
    <t>Run Summer promotional campaigns 4–6 weeks in advance (May/June). Offer winter loyalty discounts to cushion the low season and maintain engagement.</t>
  </si>
  <si>
    <t>Language</t>
  </si>
  <si>
    <t>Segment</t>
  </si>
  <si>
    <t>Unique Customers</t>
  </si>
  <si>
    <t>English</t>
  </si>
  <si>
    <t>High Activity</t>
  </si>
  <si>
    <t>Medium Activity</t>
  </si>
  <si>
    <t>Revenue Share %</t>
  </si>
  <si>
    <t>[Formula] total_revenue / SUM(total_revenue)</t>
  </si>
  <si>
    <t>Contribution of each segment</t>
  </si>
  <si>
    <t>[Formula] total_revenue / unique_customers</t>
  </si>
  <si>
    <t>Monetization efficiency</t>
  </si>
  <si>
    <t>English is the only language with rental data. High Activity customers generate $63,147.69 in revenue vs $4,258.87 for Medium Activity customers.</t>
  </si>
  <si>
    <t>The entire film catalog is in English — zero diversity in language offerings. High Activity customers represent the core revenue base. Low Activity customers (&lt;=5 rentals) are not present in results, confirming low engagement.</t>
  </si>
  <si>
    <t>Introduce a small selection of films in languages of top customer geographies (French, Mandarin, Spanish). Track if language variety improves engagement in international customer segments.</t>
  </si>
  <si>
    <t>Loyalty Tier</t>
  </si>
  <si>
    <t>Avg Revenue Per Customer</t>
  </si>
  <si>
    <t>Total Segment Revenue</t>
  </si>
  <si>
    <t>Avg Lifespan Days</t>
  </si>
  <si>
    <t>Revenue Share Pct</t>
  </si>
  <si>
    <t>Platinum</t>
  </si>
  <si>
    <t>Gold</t>
  </si>
  <si>
    <t>Silver</t>
  </si>
  <si>
    <t>Revenue per Day Active</t>
  </si>
  <si>
    <t>[Formula] avg_revenue_per_customer / avg_lifespan_days</t>
  </si>
  <si>
    <t>Daily revenue contribution</t>
  </si>
  <si>
    <t>Lifetime Value Index</t>
  </si>
  <si>
    <t>[Formula] avg_rentals * avg_revenue_per_customer / 1000</t>
  </si>
  <si>
    <t>Composite loyalty score</t>
  </si>
  <si>
    <t>Gold tier customers (392 customers) generate the highest avg revenue at $123.01 each. Silver tier contributes 26.54% of total revenue.</t>
  </si>
  <si>
    <t>Higher loyalty tiers correlate directly with longer customer lifespans and higher spend. Bronze customers (lowest rentals) still represent a significant volume segment that can be up-tiered with targeted incentives.</t>
  </si>
  <si>
    <t>Create a formal loyalty program: Bronze→Silver upgrade offer at 10 rentals (e.g. 1 free rental). This can shift ~20% of Bronze customers up, significantly growing total revenue.</t>
  </si>
  <si>
    <t>Q7: Film Category Popularity by Location (Top per City)</t>
  </si>
  <si>
    <t>SQL Query Results — 30 rows</t>
  </si>
  <si>
    <t>Country</t>
  </si>
  <si>
    <t>City</t>
  </si>
  <si>
    <t>Afghanistan</t>
  </si>
  <si>
    <t>Kabul</t>
  </si>
  <si>
    <t>Algeria</t>
  </si>
  <si>
    <t>Batna</t>
  </si>
  <si>
    <t>Béchar</t>
  </si>
  <si>
    <t>Skikda</t>
  </si>
  <si>
    <t>American Samoa</t>
  </si>
  <si>
    <t>Tafuna</t>
  </si>
  <si>
    <t>Sports</t>
  </si>
  <si>
    <t>Angola</t>
  </si>
  <si>
    <t>Benguela</t>
  </si>
  <si>
    <t>Horror</t>
  </si>
  <si>
    <t>Namibe</t>
  </si>
  <si>
    <t>Anguilla</t>
  </si>
  <si>
    <t>South Hill</t>
  </si>
  <si>
    <t>Argentina</t>
  </si>
  <si>
    <t>Almirante Brown</t>
  </si>
  <si>
    <t>Avellaneda</t>
  </si>
  <si>
    <t>Action</t>
  </si>
  <si>
    <t>Bahía Blanca</t>
  </si>
  <si>
    <t>Córdoba</t>
  </si>
  <si>
    <t>Escobar</t>
  </si>
  <si>
    <t>Ezeiza</t>
  </si>
  <si>
    <t>La Plata</t>
  </si>
  <si>
    <t>Merlo</t>
  </si>
  <si>
    <t>Quilmes</t>
  </si>
  <si>
    <t>San Miguel de Tucumán</t>
  </si>
  <si>
    <t>Santa Fé</t>
  </si>
  <si>
    <t>Tandil</t>
  </si>
  <si>
    <t>Vicente López</t>
  </si>
  <si>
    <t>Armenia</t>
  </si>
  <si>
    <t>Yerevan</t>
  </si>
  <si>
    <t>Austria</t>
  </si>
  <si>
    <t>Graz</t>
  </si>
  <si>
    <t>Linz</t>
  </si>
  <si>
    <t>Revenue per Rental</t>
  </si>
  <si>
    <t>[Formula] total_revenue / total_rentals</t>
  </si>
  <si>
    <t>Avg spend per transaction by category</t>
  </si>
  <si>
    <t>Market Concentration</t>
  </si>
  <si>
    <t>[Formula] top_category_rentals / total_city_rentals</t>
  </si>
  <si>
    <t>How dominant is the #1 category</t>
  </si>
  <si>
    <t>Sports and Animation are the most commonly top-ranked categories across cities globally. The dataset covers 108 countries and 597 cities with measurable rental data.</t>
  </si>
  <si>
    <t>There is no strong geographic concentration of a single category — preferences are relatively uniform. Sports, Animation and Action appear as top performers across diverse geographies.</t>
  </si>
  <si>
    <t>Stock at least 20% of each store's inventory in Sports and Animation. For cities with unique top-category preferences, run targeted promotions for those genres.</t>
  </si>
  <si>
    <t>Q8: Staff Availability &amp; Repeat Business by Store</t>
  </si>
  <si>
    <t>Active Staff Count</t>
  </si>
  <si>
    <t>Repeat Customers</t>
  </si>
  <si>
    <t>Revenue Per Rental</t>
  </si>
  <si>
    <t>Lethbridge</t>
  </si>
  <si>
    <t>Canada</t>
  </si>
  <si>
    <t>Woodridge</t>
  </si>
  <si>
    <t>Australia</t>
  </si>
  <si>
    <t>Repeat Rate</t>
  </si>
  <si>
    <t>[Formula] repeat_customers / unique_customers</t>
  </si>
  <si>
    <t>% of customers who are repeat</t>
  </si>
  <si>
    <t>Revenue generated per rental</t>
  </si>
  <si>
    <t>Store 1 in Lethbridge leads with 100.0% repeat rate and $33,679.79 total revenue. Both stores have 1 active staff member each.</t>
  </si>
  <si>
    <t>With only 1 active staff per store, staffing is at minimum capacity. Despite this, repeat rates are high (99%+), suggesting customer loyalty is driven by product selection and location rather than service staff.</t>
  </si>
  <si>
    <t>Pilot adding 1 additional staff member to the higher-volume store during peak hours. Measure whether transaction speed and customer satisfaction improve repeat visit frequency.</t>
  </si>
  <si>
    <t>Q9: Store Proximity Impact on Rental Frequency</t>
  </si>
  <si>
    <t>proximity</t>
  </si>
  <si>
    <t>num_customers</t>
  </si>
  <si>
    <t>total_rentals</t>
  </si>
  <si>
    <t>avg_rentals_per_customer</t>
  </si>
  <si>
    <t>total_revenue</t>
  </si>
  <si>
    <t>avg_payment</t>
  </si>
  <si>
    <t>Different Country</t>
  </si>
  <si>
    <t>Same Country</t>
  </si>
  <si>
    <t>Spend per transaction by proximity group</t>
  </si>
  <si>
    <t>Engagement Index</t>
  </si>
  <si>
    <t>[Formula] avg_rentals_per_customer / MAX(avg_rentals_per_customer)</t>
  </si>
  <si>
    <t>Normalised engagement 0-1</t>
  </si>
  <si>
    <t>'Different Country' customers (596 customers) show the highest rental frequency at 26.8 rentals/customer — higher than Same Country customers.</t>
  </si>
  <si>
    <t>Counter-intuitively, customers farther from the store rent more often. This may indicate that the store serves as a destination (not convenience) rental point, and distant customers value the offering enough to visit repeatedly.</t>
  </si>
  <si>
    <t>Don't limit marketing to local areas — invest in digital outreach to international customers who demonstrate high LTV. Consider mail-order or digital rental expansion.</t>
  </si>
  <si>
    <t>SQL Query Results — 16 rows</t>
  </si>
  <si>
    <t>category</t>
  </si>
  <si>
    <t>tenure_group</t>
  </si>
  <si>
    <t>unique_customers</t>
  </si>
  <si>
    <t>rentals_per_customer</t>
  </si>
  <si>
    <t>Mid-Period (2006)</t>
  </si>
  <si>
    <t>Monetisation by tenure group</t>
  </si>
  <si>
    <t>Tenure Preference Index</t>
  </si>
  <si>
    <t>[Formula] rentals_per_customer / MAX(rentals_per_customer) by category</t>
  </si>
  <si>
    <t>Which tenure group engages most per category</t>
  </si>
  <si>
    <t>Early Adopter customers (&lt;=2005) dominate rental volumes across all categories. Sports, Animation, and Action lead in rentals per customer across all tenure groups.</t>
  </si>
  <si>
    <t>Early adopters are the backbone of rentals — they have had more time to accumulate rentals. When controlling for time, all tenure groups show similar category preferences, suggesting tastes are consistent across cohorts.</t>
  </si>
  <si>
    <t>Run 'New Member Favorite' campaigns based on category preferences of Early Adopters to guide newer customers toward high-engagement genres faster.</t>
  </si>
  <si>
    <t>Q11: Demographics of Highest-Spending Customers (Top 20)</t>
  </si>
  <si>
    <t>customer_name</t>
  </si>
  <si>
    <t>city</t>
  </si>
  <si>
    <t>country</t>
  </si>
  <si>
    <t>total_spent</t>
  </si>
  <si>
    <t>avg_spend_per_rental</t>
  </si>
  <si>
    <t>active</t>
  </si>
  <si>
    <t>favourite_category</t>
  </si>
  <si>
    <t>spend_tier</t>
  </si>
  <si>
    <t>KARL SEAL</t>
  </si>
  <si>
    <t>Cape Coral</t>
  </si>
  <si>
    <t>United States</t>
  </si>
  <si>
    <t>Top 25% Spender</t>
  </si>
  <si>
    <t>ELEANOR HUNT</t>
  </si>
  <si>
    <t>Saint-Denis</t>
  </si>
  <si>
    <t>Runion</t>
  </si>
  <si>
    <t>CLARA SHAW</t>
  </si>
  <si>
    <t>Molodetno</t>
  </si>
  <si>
    <t>Belarus</t>
  </si>
  <si>
    <t>MARION SNYDER</t>
  </si>
  <si>
    <t>Santa Brbara dOeste</t>
  </si>
  <si>
    <t>Brazil</t>
  </si>
  <si>
    <t>RHONDA KENNEDY</t>
  </si>
  <si>
    <t>Apeldoorn</t>
  </si>
  <si>
    <t>Netherlands</t>
  </si>
  <si>
    <t>TOMMY COLLAZO</t>
  </si>
  <si>
    <t>Qomsheh</t>
  </si>
  <si>
    <t>Iran</t>
  </si>
  <si>
    <t>WESLEY BULL</t>
  </si>
  <si>
    <t>Ourense (Orense)</t>
  </si>
  <si>
    <t>Spain</t>
  </si>
  <si>
    <t>TIM CARY</t>
  </si>
  <si>
    <t>Bijapur</t>
  </si>
  <si>
    <t>India</t>
  </si>
  <si>
    <t>MARCIA DEAN</t>
  </si>
  <si>
    <t>Tanza</t>
  </si>
  <si>
    <t>Philippines</t>
  </si>
  <si>
    <t>ANA BRADLEY</t>
  </si>
  <si>
    <t>Memphis</t>
  </si>
  <si>
    <t>JUNE CARROLL</t>
  </si>
  <si>
    <t>DIANE COLLINS</t>
  </si>
  <si>
    <t>Omdurman</t>
  </si>
  <si>
    <t>Sudan</t>
  </si>
  <si>
    <t>LENA JENSEN</t>
  </si>
  <si>
    <t>Halisahar</t>
  </si>
  <si>
    <t>ARNOLD HAVENS</t>
  </si>
  <si>
    <t>Santa Rosa</t>
  </si>
  <si>
    <t>CURTIS IRBY</t>
  </si>
  <si>
    <t>Richmond Hill</t>
  </si>
  <si>
    <t>MIKE WAY</t>
  </si>
  <si>
    <t>Valparai</t>
  </si>
  <si>
    <t>DAISY BATES</t>
  </si>
  <si>
    <t>Kolpino</t>
  </si>
  <si>
    <t>Russian Federation</t>
  </si>
  <si>
    <t>TONYA CHAPMAN</t>
  </si>
  <si>
    <t>Bhilwara</t>
  </si>
  <si>
    <t>LOUIS LEONE</t>
  </si>
  <si>
    <t>Tanauan</t>
  </si>
  <si>
    <t>GORDON ALLARD</t>
  </si>
  <si>
    <t>Hodeida</t>
  </si>
  <si>
    <t>Yemen</t>
  </si>
  <si>
    <t>Spend Tier Label</t>
  </si>
  <si>
    <t>NTILE(4) quartile on total_spent</t>
  </si>
  <si>
    <t>Top 25% by total spend</t>
  </si>
  <si>
    <t>Customer LTV Score</t>
  </si>
  <si>
    <t>[Formula] total_spent / total_rentals</t>
  </si>
  <si>
    <t>Value per transaction</t>
  </si>
  <si>
    <t>Top spender is Karl Seal from Cape Coral, United States with $221.55 total spend across 45 rentals. Favourite categories span Sports, Animation and Action.</t>
  </si>
  <si>
    <t>Top spenders are geographically diverse — no single country dominates. Favourite categories align with overall top performers. All top spenders are active customers, indicating churn risk is low in this segment.</t>
  </si>
  <si>
    <t>Create a VIP tier for top 25% spenders with exclusive early-access to new releases. Personal outreach (email/loyalty card) can increase their rental frequency further.</t>
  </si>
  <si>
    <t>Q12: Inventory Availability &amp; Repeat Business (Top 20 by Demand)</t>
  </si>
  <si>
    <t>title</t>
  </si>
  <si>
    <t>total_copies</t>
  </si>
  <si>
    <t>repeat_customer_rentals</t>
  </si>
  <si>
    <t>repeat_rental_pct</t>
  </si>
  <si>
    <t>rentals_per_copy</t>
  </si>
  <si>
    <t>availability_level</t>
  </si>
  <si>
    <t>ACE GOLDFINGER</t>
  </si>
  <si>
    <t>Low Availability</t>
  </si>
  <si>
    <t>ADAPTATION HOLES</t>
  </si>
  <si>
    <t>AFFAIR PREJUDICE</t>
  </si>
  <si>
    <t>Medium Availability</t>
  </si>
  <si>
    <t>AFRICAN EGG</t>
  </si>
  <si>
    <t>AGENT TRUMAN</t>
  </si>
  <si>
    <t>AIRPLANE SIERRA</t>
  </si>
  <si>
    <t>AIRPORT POLLOCK</t>
  </si>
  <si>
    <t>ALABAMA DEVIL</t>
  </si>
  <si>
    <t>ALADDIN CALENDAR</t>
  </si>
  <si>
    <t>ALAMO VIDEOTAPE</t>
  </si>
  <si>
    <t>ALASKA PHANTOM</t>
  </si>
  <si>
    <t>ALI FOREVER</t>
  </si>
  <si>
    <t>ALIEN CENTER</t>
  </si>
  <si>
    <t>ALLEY EVOLUTION</t>
  </si>
  <si>
    <t>ALONE TRIP</t>
  </si>
  <si>
    <t>ALTER VICTORY</t>
  </si>
  <si>
    <t>AMADEUS HOLY</t>
  </si>
  <si>
    <t>AMELIE HELLFIGHTERS</t>
  </si>
  <si>
    <t>AMERICAN CIRCUS</t>
  </si>
  <si>
    <t>ACADEMY DINOSAUR</t>
  </si>
  <si>
    <t>Inventory Gap Score</t>
  </si>
  <si>
    <t>[Formula] IF(rental_per_copy&gt;15,"Understocked","Balanced")</t>
  </si>
  <si>
    <t>Flag films needing more copies</t>
  </si>
  <si>
    <t>Repeat Lift</t>
  </si>
  <si>
    <t>[Formula] repeat_rental_pct - avg(repeat_rental_pct)</t>
  </si>
  <si>
    <t>Above/below avg repeat engagement</t>
  </si>
  <si>
    <t>Top film by demand-per-copy is 'BLOOD ARGONAUTS' (Family) with 5.0 rentals per copy and 100.0% repeat rental rate.</t>
  </si>
  <si>
    <t>High-demand films (&gt;15 rentals/copy) have insufficient inventory. Films with high repeat rental percentages (&gt;80%) are strong loyalty drivers — customers return specifically for these titles.</t>
  </si>
  <si>
    <t>Add 2-3 copies of top 5 demand films. Focus repeat-customer loyalty campaigns around films with &gt;80% repeat rate. Consider exclusive 'Members Only' access for ultra-high-demand titles.</t>
  </si>
  <si>
    <t>Q13: Busiest Hours &amp; Days per Store (Top 10 Slots)</t>
  </si>
  <si>
    <t>SQL Query Results — 25 rows</t>
  </si>
  <si>
    <t>store_id</t>
  </si>
  <si>
    <t>store_city</t>
  </si>
  <si>
    <t>hour_of_day</t>
  </si>
  <si>
    <t>revenue</t>
  </si>
  <si>
    <t>hour_rank</t>
  </si>
  <si>
    <t>Revenue per Customer per Slot</t>
  </si>
  <si>
    <t>[Formula] revenue / unique_customers</t>
  </si>
  <si>
    <t>Value of each timeslot per customer</t>
  </si>
  <si>
    <t>Peak Hour Flag</t>
  </si>
  <si>
    <t>[Formula] IF(busiest_rank&lt;=3,"Peak","Normal")</t>
  </si>
  <si>
    <t>Top 3 busiest slots per store</t>
  </si>
  <si>
    <t>Store 1 and Store 2 both show peak activity in late afternoon/evening hours. Monday and Tuesday see the highest rental volumes, with activity dipping over weekends.</t>
  </si>
  <si>
    <t>Weekday evenings are the primary revenue-generating slots. Weekend drop-off suggests customers treat rental as a weekday routine rather than weekend leisure activity.</t>
  </si>
  <si>
    <t>Ensure full staff coverage during weekday peak hours (4pm–9pm). Run weekend flash promotions to shift some demand and improve weekend utilisation.</t>
  </si>
  <si>
    <t>Row Labels</t>
  </si>
  <si>
    <t>Sum of total_rentals</t>
  </si>
  <si>
    <t>Grand Total</t>
  </si>
  <si>
    <t>Q14: Cultural/Demographic Factors by Location (Top City/Country)</t>
  </si>
  <si>
    <t>language</t>
  </si>
  <si>
    <t>rating</t>
  </si>
  <si>
    <t xml:space="preserve">English             </t>
  </si>
  <si>
    <t>Azerbaijan</t>
  </si>
  <si>
    <t>Bahrain</t>
  </si>
  <si>
    <t>Bangladesh</t>
  </si>
  <si>
    <t>Avg spend at the top city per country</t>
  </si>
  <si>
    <t>Top City Flag</t>
  </si>
  <si>
    <t>[Formula] IF(country_rank=1,"Top City","Other")</t>
  </si>
  <si>
    <t>Highest volume city per country</t>
  </si>
  <si>
    <t>Across 108 countries, the most common top category is Sports and Animation. English-language PG/PG-13 films dominate preferences across all regions.</t>
  </si>
  <si>
    <t>Cultural differentiation in film preferences is minimal — the catalog uniformity (all English) may be masking underlying cultural preferences. Rating preferences (PG vs R) do vary by region.</t>
  </si>
  <si>
    <t>Survey customers in top-performing cities to understand unmet content preferences. Pilot a 'Local Favorites' section with region-appropriate content to test cultural demand lift.</t>
  </si>
  <si>
    <t>Q15: Language Availability &amp; Rental Frequency Impact</t>
  </si>
  <si>
    <t>Films Available</t>
  </si>
  <si>
    <t>Total Inventory</t>
  </si>
  <si>
    <t>Rentals Per Customer</t>
  </si>
  <si>
    <t>Repeat Rentals</t>
  </si>
  <si>
    <t>Repeat Rental Pct</t>
  </si>
  <si>
    <t>Demand Level</t>
  </si>
  <si>
    <t>Very High Demand</t>
  </si>
  <si>
    <t>Language Concentration Risk</t>
  </si>
  <si>
    <t>[Formula] films_available / SUM(films_available)</t>
  </si>
  <si>
    <t>% of catalog in each language</t>
  </si>
  <si>
    <t>Repeat Retention Score</t>
  </si>
  <si>
    <t>[Formula] repeat_rental_pct * rentals_per_customer</t>
  </si>
  <si>
    <t>Loyalty strength indicator</t>
  </si>
  <si>
    <t>English is the only language with rental data — 958 films, 4581 inventory units, 16,044 total rentals. Repeat rental percentage is 100.0%.</t>
  </si>
  <si>
    <t>100% language concentration in English creates a significant strategic risk. Customers in non-English speaking countries (majority of the customer base) have no language choice — this suppresses potential demand.</t>
  </si>
  <si>
    <t>Dub or subtitle top 50 films in French, Mandarin, and Spanish (top customer geographies). Measure rental uplift in those customer segments to justify broader multilingual investment.</t>
  </si>
  <si>
    <t>Chart Section</t>
  </si>
  <si>
    <t>SQL Query</t>
  </si>
  <si>
    <t>WITH customer_rentals AS (
    SELECT
        c.customer_id,
        COUNT(r.rental_id)                    AS total_rentals,
        SUM(p.amount)                         AS total_spent,
        MIN(r.rental_date)                    AS first_rental,
        MAX(r.rental_date)                    AS last_rental,
        ROUND(AVG(p.amount)::NUMERIC, 2)      AS avg_payment
    FROM customer c
    JOIN rental  r ON c.customer_id = r.customer_id
    JOIN payment p ON r.rental_id   = p.rental_id
    GROUP BY c.customer_id
),
classified AS (
    SELECT *,
        CASE
            WHEN total_rentals = 1 THEN 'New Customer'
            ELSE 'Repeat Customer'
        END AS customer_type
    FROM customer_rentals
)
SELECT
    customer_type,
    COUNT(customer_id)                    AS num_customers,
    ROUND(AVG(total_rentals)::NUMERIC, 1) AS avg_rentals,
    ROUND(AVG(total_spent)::NUMERIC, 2)   AS avg_total_spent,
    ROUND(AVG(avg_payment)::NUMERIC, 2)   AS avg_payment_per_rental,
    SUM(total_spent)                      AS segment_revenue
FROM classified
GROUP BY customer_type
ORDER BY avg_total_spent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</si>
</sst>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\-??_ ;_ @_ 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C1C1C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B5E20"/>
      <name val="Arial"/>
      <charset val="1"/>
    </font>
    <font>
      <sz val="10"/>
      <color rgb="FF7B4F00"/>
      <name val="Arial"/>
      <charset val="1"/>
    </font>
    <font>
      <sz val="10"/>
      <color rgb="FF7B1616"/>
      <name val="Arial"/>
      <charset val="1"/>
    </font>
    <font>
      <b/>
      <sz val="11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4"/>
      <name val="Times New Roman"/>
    </font>
    <font>
      <sz val="10"/>
      <name val="Consolas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744"/>
        <bgColor rgb="FF1C1C1C"/>
      </patternFill>
    </fill>
    <fill>
      <patternFill patternType="solid">
        <fgColor rgb="FF2E4A8B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4EDDA"/>
      </patternFill>
    </fill>
    <fill>
      <patternFill patternType="solid">
        <fgColor rgb="FF17A589"/>
        <bgColor rgb="FF008080"/>
      </patternFill>
    </fill>
    <fill>
      <patternFill patternType="solid">
        <fgColor rgb="FFD4EDDA"/>
        <bgColor rgb="FFD6E4F0"/>
      </patternFill>
    </fill>
    <fill>
      <patternFill patternType="solid">
        <fgColor rgb="FFFFF3CD"/>
        <bgColor rgb="FFF9F9F9"/>
      </patternFill>
    </fill>
    <fill>
      <patternFill patternType="solid">
        <fgColor rgb="FFF8D7DA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2">
    <xf numFmtId="0" fontId="0" fillId="0" borderId="0"/>
    <xf numFmtId="0" fontId="14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left" vertical="center" wrapText="1"/>
    </xf>
    <xf numFmtId="2" fontId="3" fillId="5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left" vertical="center" wrapText="1"/>
    </xf>
    <xf numFmtId="10" fontId="0" fillId="0" borderId="0" xfId="0" applyNumberFormat="1"/>
    <xf numFmtId="10" fontId="3" fillId="4" borderId="1" xfId="0" applyNumberFormat="1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3" fontId="3" fillId="4" borderId="1" xfId="0" applyNumberFormat="1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left" vertical="center" wrapText="1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left" vertical="center"/>
    </xf>
    <xf numFmtId="0" fontId="0" fillId="0" borderId="0" xfId="0"/>
    <xf numFmtId="0" fontId="13" fillId="12" borderId="2" xfId="0" applyFont="1" applyFill="1" applyBorder="1" applyAlignment="1">
      <alignment horizontal="left" vertical="top" wrapText="1" indent="1"/>
    </xf>
    <xf numFmtId="0" fontId="10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0" borderId="0" xfId="1"/>
    <xf numFmtId="0" fontId="5" fillId="3" borderId="0" xfId="1" applyFont="1" applyFill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3" fontId="3" fillId="5" borderId="1" xfId="1" applyNumberFormat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2" fontId="3" fillId="5" borderId="1" xfId="1" applyNumberFormat="1" applyFont="1" applyFill="1" applyBorder="1" applyAlignment="1">
      <alignment horizontal="left" vertical="center" wrapText="1"/>
    </xf>
    <xf numFmtId="4" fontId="3" fillId="5" borderId="1" xfId="1" applyNumberFormat="1" applyFont="1" applyFill="1" applyBorder="1" applyAlignment="1">
      <alignment horizontal="left" vertical="center" wrapText="1"/>
    </xf>
    <xf numFmtId="3" fontId="3" fillId="4" borderId="1" xfId="1" applyNumberFormat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2" fontId="3" fillId="4" borderId="1" xfId="1" applyNumberFormat="1" applyFont="1" applyFill="1" applyBorder="1" applyAlignment="1">
      <alignment horizontal="left" vertical="center" wrapText="1"/>
    </xf>
    <xf numFmtId="4" fontId="3" fillId="4" borderId="1" xfId="1" applyNumberFormat="1" applyFont="1" applyFill="1" applyBorder="1" applyAlignment="1">
      <alignment horizontal="left" vertical="center" wrapText="1"/>
    </xf>
    <xf numFmtId="0" fontId="5" fillId="6" borderId="0" xfId="1" applyFont="1" applyFill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8" fillId="8" borderId="1" xfId="1" applyFont="1" applyFill="1" applyBorder="1" applyAlignment="1">
      <alignment horizontal="left" vertical="center" wrapText="1"/>
    </xf>
    <xf numFmtId="0" fontId="9" fillId="9" borderId="1" xfId="1" applyFont="1" applyFill="1" applyBorder="1" applyAlignment="1">
      <alignment horizontal="left" vertical="center" wrapText="1"/>
    </xf>
    <xf numFmtId="0" fontId="12" fillId="11" borderId="0" xfId="1" applyFont="1" applyFill="1" applyAlignment="1">
      <alignment horizontal="center" vertical="center"/>
    </xf>
    <xf numFmtId="0" fontId="12" fillId="11" borderId="0" xfId="1" applyFont="1" applyFill="1" applyAlignment="1">
      <alignment horizontal="center" vertical="center"/>
    </xf>
    <xf numFmtId="0" fontId="14" fillId="0" borderId="0" xfId="1" applyAlignment="1">
      <alignment horizontal="left"/>
    </xf>
    <xf numFmtId="3" fontId="14" fillId="0" borderId="0" xfId="1" applyNumberFormat="1"/>
  </cellXfs>
  <cellStyles count="2">
    <cellStyle name="Normal" xfId="0" builtinId="0"/>
    <cellStyle name="Normal 2" xfId="1" xr:uid="{4A6BD90D-4DF1-46A1-B3E3-14C2B9AF504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616"/>
      <rgbColor rgb="FF1B5E2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17A589"/>
      <rgbColor rgb="FF003300"/>
      <rgbColor rgb="FF1C1C1C"/>
      <rgbColor rgb="FF7B4F00"/>
      <rgbColor rgb="FF993366"/>
      <rgbColor rgb="FF2E4A8B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Segment 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EDA_Q1!$F$9</c:f>
              <c:strCache>
                <c:ptCount val="1"/>
                <c:pt idx="0">
                  <c:v>Segment Revenue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EDA_Q1!$A$10</c:f>
              <c:strCache>
                <c:ptCount val="1"/>
                <c:pt idx="0">
                  <c:v>Repeat Customer</c:v>
                </c:pt>
              </c:strCache>
            </c:strRef>
          </c:cat>
          <c:val>
            <c:numRef>
              <c:f>EDA_Q1!$F$10</c:f>
              <c:numCache>
                <c:formatCode>#,##0.00</c:formatCode>
                <c:ptCount val="1"/>
                <c:pt idx="0">
                  <c:v>67406.559999999998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4F3E-A31B-61D0465E6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90949"/>
        <c:axId val="75991693"/>
      </c:barChart>
      <c:catAx>
        <c:axId val="55909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1693"/>
        <c:crosses val="autoZero"/>
        <c:auto val="1"/>
        <c:lblAlgn val="ctr"/>
        <c:lblOffset val="100"/>
        <c:noMultiLvlLbl val="0"/>
      </c:catAx>
      <c:valAx>
        <c:axId val="759916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9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EDA_Q2!$D$4</c:f>
              <c:strCache>
                <c:ptCount val="1"/>
                <c:pt idx="0">
                  <c:v>Rental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EDA_Q2!$B$5:$B$24</c:f>
              <c:strCache>
                <c:ptCount val="20"/>
                <c:pt idx="0">
                  <c:v>BUCKET BROTHERHOOD</c:v>
                </c:pt>
                <c:pt idx="1">
                  <c:v>ROCKETEER MOTHER</c:v>
                </c:pt>
                <c:pt idx="2">
                  <c:v>SCALAWAG DUCK</c:v>
                </c:pt>
                <c:pt idx="3">
                  <c:v>RIDGEMONT SUBMARINE</c:v>
                </c:pt>
                <c:pt idx="4">
                  <c:v>FORWARD TEMPLE</c:v>
                </c:pt>
                <c:pt idx="5">
                  <c:v>GRIT CLOCKWORK</c:v>
                </c:pt>
                <c:pt idx="6">
                  <c:v>JUGGLER HARDLY</c:v>
                </c:pt>
                <c:pt idx="7">
                  <c:v>WIFE TURN</c:v>
                </c:pt>
                <c:pt idx="8">
                  <c:v>ZORRO ARK</c:v>
                </c:pt>
                <c:pt idx="9">
                  <c:v>GOODFELLAS SALUTE</c:v>
                </c:pt>
                <c:pt idx="10">
                  <c:v>APACHE DIVINE</c:v>
                </c:pt>
                <c:pt idx="11">
                  <c:v>NETWORK PEAK</c:v>
                </c:pt>
                <c:pt idx="12">
                  <c:v>TIMBERLAND SKY</c:v>
                </c:pt>
                <c:pt idx="13">
                  <c:v>ROBBERS JOON</c:v>
                </c:pt>
                <c:pt idx="14">
                  <c:v>RUSH GOODFELLAS</c:v>
                </c:pt>
                <c:pt idx="15">
                  <c:v>HOBBIT ALIEN</c:v>
                </c:pt>
                <c:pt idx="16">
                  <c:v>HARRY IDAHO</c:v>
                </c:pt>
                <c:pt idx="17">
                  <c:v>CAT CONEHEADS</c:v>
                </c:pt>
                <c:pt idx="18">
                  <c:v>MASSACRE USUAL</c:v>
                </c:pt>
                <c:pt idx="19">
                  <c:v>DOGMA FAMILY</c:v>
                </c:pt>
              </c:strCache>
            </c:strRef>
          </c:cat>
          <c:val>
            <c:numRef>
              <c:f>EDA_Q2!$D$5:$D$24</c:f>
              <c:numCache>
                <c:formatCode>0.00</c:formatCode>
                <c:ptCount val="20"/>
                <c:pt idx="0">
                  <c:v>4.99</c:v>
                </c:pt>
                <c:pt idx="1">
                  <c:v>0.99</c:v>
                </c:pt>
                <c:pt idx="2">
                  <c:v>4.99</c:v>
                </c:pt>
                <c:pt idx="3">
                  <c:v>0.99</c:v>
                </c:pt>
                <c:pt idx="4">
                  <c:v>2.99</c:v>
                </c:pt>
                <c:pt idx="5">
                  <c:v>0.99</c:v>
                </c:pt>
                <c:pt idx="6">
                  <c:v>0.99</c:v>
                </c:pt>
                <c:pt idx="7">
                  <c:v>4.99</c:v>
                </c:pt>
                <c:pt idx="8">
                  <c:v>4.99</c:v>
                </c:pt>
                <c:pt idx="9">
                  <c:v>4.99</c:v>
                </c:pt>
                <c:pt idx="10">
                  <c:v>4.99</c:v>
                </c:pt>
                <c:pt idx="11">
                  <c:v>2.99</c:v>
                </c:pt>
                <c:pt idx="12">
                  <c:v>0.99</c:v>
                </c:pt>
                <c:pt idx="13">
                  <c:v>2.99</c:v>
                </c:pt>
                <c:pt idx="14">
                  <c:v>0.99</c:v>
                </c:pt>
                <c:pt idx="15">
                  <c:v>0.99</c:v>
                </c:pt>
                <c:pt idx="16">
                  <c:v>4.99</c:v>
                </c:pt>
                <c:pt idx="17">
                  <c:v>4.99</c:v>
                </c:pt>
                <c:pt idx="18">
                  <c:v>4.99</c:v>
                </c:pt>
                <c:pt idx="19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9-4408-8834-D619B7D7C5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62238239"/>
        <c:axId val="1062237759"/>
      </c:barChart>
      <c:catAx>
        <c:axId val="106223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37759"/>
        <c:crosses val="autoZero"/>
        <c:auto val="1"/>
        <c:lblAlgn val="ctr"/>
        <c:lblOffset val="100"/>
        <c:noMultiLvlLbl val="0"/>
      </c:catAx>
      <c:valAx>
        <c:axId val="10622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Staff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EDA_Q3!$E$4</c:f>
              <c:strCache>
                <c:ptCount val="1"/>
                <c:pt idx="0">
                  <c:v>Total Revenue Generated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EDA_Q3!$A$5:$A$6</c:f>
              <c:strCache>
                <c:ptCount val="2"/>
                <c:pt idx="0">
                  <c:v>Mike Hillyer</c:v>
                </c:pt>
                <c:pt idx="1">
                  <c:v>Jon Stephens</c:v>
                </c:pt>
              </c:strCache>
            </c:strRef>
          </c:cat>
          <c:val>
            <c:numRef>
              <c:f>EDA_Q3!$E$5:$E$6</c:f>
              <c:numCache>
                <c:formatCode>#,##0.00</c:formatCode>
                <c:ptCount val="2"/>
                <c:pt idx="0">
                  <c:v>33524.620000000003</c:v>
                </c:pt>
                <c:pt idx="1">
                  <c:v>33881.94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8-4F7D-B232-F1FC788F0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855924"/>
        <c:axId val="50988040"/>
      </c:barChart>
      <c:catAx>
        <c:axId val="678559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8040"/>
        <c:crosses val="autoZero"/>
        <c:auto val="1"/>
        <c:lblAlgn val="ctr"/>
        <c:lblOffset val="100"/>
        <c:noMultiLvlLbl val="0"/>
      </c:catAx>
      <c:valAx>
        <c:axId val="5098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59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Rentals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EDA_Q4!$B$4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EDA_Q4!$A$5:$A$7</c:f>
              <c:strCache>
                <c:ptCount val="3"/>
                <c:pt idx="0">
                  <c:v>Summer</c:v>
                </c:pt>
                <c:pt idx="1">
                  <c:v>Spring</c:v>
                </c:pt>
                <c:pt idx="2">
                  <c:v>Winter</c:v>
                </c:pt>
              </c:strCache>
            </c:strRef>
          </c:cat>
          <c:val>
            <c:numRef>
              <c:f>EDA_Q4!$B$5:$B$7</c:f>
              <c:numCache>
                <c:formatCode>#,##0</c:formatCode>
                <c:ptCount val="3"/>
                <c:pt idx="0">
                  <c:v>14706</c:v>
                </c:pt>
                <c:pt idx="1">
                  <c:v>1156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9-4B0C-9580-48E15BDF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1743"/>
        <c:axId val="10231432"/>
      </c:barChart>
      <c:catAx>
        <c:axId val="1212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432"/>
        <c:crosses val="autoZero"/>
        <c:auto val="1"/>
        <c:lblAlgn val="ctr"/>
        <c:lblOffset val="100"/>
        <c:noMultiLvlLbl val="0"/>
      </c:catAx>
      <c:valAx>
        <c:axId val="1023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EDA_Q5!$F$4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44-4D75-BA87-5345431552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44-4D75-BA87-534543155273}"/>
              </c:ext>
            </c:extLst>
          </c:dPt>
          <c:dLbls>
            <c:dLbl>
              <c:idx val="0"/>
              <c:layout>
                <c:manualLayout>
                  <c:x val="0.21417767611961061"/>
                  <c:y val="-5.4486308629128608E-2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44-4D75-BA87-534543155273}"/>
                </c:ext>
              </c:extLst>
            </c:dLbl>
            <c:dLbl>
              <c:idx val="1"/>
              <c:layout>
                <c:manualLayout>
                  <c:x val="-0.12211618769219088"/>
                  <c:y val="1.3004875322773345E-3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44-4D75-BA87-534543155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EDA_Q5!$B$5:$B$6</c:f>
              <c:strCache>
                <c:ptCount val="2"/>
                <c:pt idx="0">
                  <c:v>High Activity</c:v>
                </c:pt>
                <c:pt idx="1">
                  <c:v>Medium Activity</c:v>
                </c:pt>
              </c:strCache>
            </c:strRef>
          </c:cat>
          <c:val>
            <c:numRef>
              <c:f>EDA_Q5!$F$5:$F$6</c:f>
              <c:numCache>
                <c:formatCode>#,##0.00</c:formatCode>
                <c:ptCount val="2"/>
                <c:pt idx="0">
                  <c:v>63147.69</c:v>
                </c:pt>
                <c:pt idx="1">
                  <c:v>4258.87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44-4D75-BA87-534543155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Share by Loyalty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EDA_Q6!$E$4</c:f>
              <c:strCache>
                <c:ptCount val="1"/>
                <c:pt idx="0">
                  <c:v>Total Segment 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67-4D21-AD5D-92B09865A04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67-4D21-AD5D-92B09865A04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67-4D21-AD5D-92B09865A04B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EDA_Q6!$A$5:$A$7</c:f>
              <c:strCache>
                <c:ptCount val="3"/>
                <c:pt idx="0">
                  <c:v>Platinum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EDA_Q6!$E$5:$E$7</c:f>
              <c:numCache>
                <c:formatCode>#,##0.00</c:formatCode>
                <c:ptCount val="3"/>
                <c:pt idx="0">
                  <c:v>1297.04</c:v>
                </c:pt>
                <c:pt idx="1">
                  <c:v>48220.22</c:v>
                </c:pt>
                <c:pt idx="2">
                  <c:v>17889.3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7-4D21-AD5D-92B0986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Categories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EDA_Q7!$D$4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EDA_Q7!$C$5:$C$34</c:f>
              <c:strCache>
                <c:ptCount val="30"/>
                <c:pt idx="0">
                  <c:v>Comedy</c:v>
                </c:pt>
                <c:pt idx="1">
                  <c:v>New</c:v>
                </c:pt>
                <c:pt idx="2">
                  <c:v>Sci-Fi</c:v>
                </c:pt>
                <c:pt idx="3">
                  <c:v>Animation</c:v>
                </c:pt>
                <c:pt idx="4">
                  <c:v>Comedy</c:v>
                </c:pt>
                <c:pt idx="5">
                  <c:v>Sports</c:v>
                </c:pt>
                <c:pt idx="6">
                  <c:v>Comedy</c:v>
                </c:pt>
                <c:pt idx="7">
                  <c:v>Horror</c:v>
                </c:pt>
                <c:pt idx="8">
                  <c:v>Animation</c:v>
                </c:pt>
                <c:pt idx="9">
                  <c:v>Travel</c:v>
                </c:pt>
                <c:pt idx="10">
                  <c:v>Documentary</c:v>
                </c:pt>
                <c:pt idx="11">
                  <c:v>Action</c:v>
                </c:pt>
                <c:pt idx="12">
                  <c:v>Action</c:v>
                </c:pt>
                <c:pt idx="13">
                  <c:v>Animation</c:v>
                </c:pt>
                <c:pt idx="14">
                  <c:v>Family</c:v>
                </c:pt>
                <c:pt idx="15">
                  <c:v>Animation</c:v>
                </c:pt>
                <c:pt idx="16">
                  <c:v>Animation</c:v>
                </c:pt>
                <c:pt idx="17">
                  <c:v>Foreign</c:v>
                </c:pt>
                <c:pt idx="18">
                  <c:v>Action</c:v>
                </c:pt>
                <c:pt idx="19">
                  <c:v>Documentary</c:v>
                </c:pt>
                <c:pt idx="20">
                  <c:v>Sci-Fi</c:v>
                </c:pt>
                <c:pt idx="21">
                  <c:v>Sports</c:v>
                </c:pt>
                <c:pt idx="22">
                  <c:v>Documentary</c:v>
                </c:pt>
                <c:pt idx="23">
                  <c:v>Drama</c:v>
                </c:pt>
                <c:pt idx="24">
                  <c:v>Documentary</c:v>
                </c:pt>
                <c:pt idx="25">
                  <c:v>Sci-Fi</c:v>
                </c:pt>
                <c:pt idx="26">
                  <c:v>Animation</c:v>
                </c:pt>
                <c:pt idx="27">
                  <c:v>Documentary</c:v>
                </c:pt>
                <c:pt idx="28">
                  <c:v>Action</c:v>
                </c:pt>
                <c:pt idx="29">
                  <c:v>Classics</c:v>
                </c:pt>
              </c:strCache>
            </c:strRef>
          </c:cat>
          <c:val>
            <c:numRef>
              <c:f>EDA_Q7!$D$5:$D$34</c:f>
              <c:numCache>
                <c:formatCode>#,##0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8</c:v>
                </c:pt>
                <c:pt idx="23">
                  <c:v>4</c:v>
                </c:pt>
                <c:pt idx="24">
                  <c:v>6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1-4E72-B7BE-9E9AEA002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03559"/>
        <c:axId val="26859423"/>
      </c:barChart>
      <c:catAx>
        <c:axId val="6703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9423"/>
        <c:crosses val="autoZero"/>
        <c:auto val="1"/>
        <c:lblAlgn val="ctr"/>
        <c:lblOffset val="100"/>
        <c:noMultiLvlLbl val="0"/>
      </c:catAx>
      <c:valAx>
        <c:axId val="268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Store Rental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EDA_Q8!$E$4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EDA_Q8!$A$5:$A$6</c:f>
              <c:numCache>
                <c:formatCode>#,##0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EDA_Q8!$E$5:$E$6</c:f>
              <c:numCache>
                <c:formatCode>#,##0</c:formatCode>
                <c:ptCount val="2"/>
                <c:pt idx="0">
                  <c:v>7923</c:v>
                </c:pt>
                <c:pt idx="1">
                  <c:v>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4-458D-913B-0528BF247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998755"/>
        <c:axId val="86651350"/>
      </c:barChart>
      <c:catAx>
        <c:axId val="419987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1350"/>
        <c:crosses val="autoZero"/>
        <c:auto val="1"/>
        <c:lblAlgn val="ctr"/>
        <c:lblOffset val="100"/>
        <c:noMultiLvlLbl val="0"/>
      </c:catAx>
      <c:valAx>
        <c:axId val="866513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87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Avg Rentals by Proximity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EDA_Q9!$D$4</c:f>
              <c:strCache>
                <c:ptCount val="1"/>
                <c:pt idx="0">
                  <c:v>avg_rentals_per_customer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EDA_Q9!$A$5:$A$6</c:f>
              <c:strCache>
                <c:ptCount val="2"/>
                <c:pt idx="0">
                  <c:v>Different Country</c:v>
                </c:pt>
                <c:pt idx="1">
                  <c:v>Same Country</c:v>
                </c:pt>
              </c:strCache>
            </c:strRef>
          </c:cat>
          <c:val>
            <c:numRef>
              <c:f>EDA_Q9!$D$5:$D$6</c:f>
              <c:numCache>
                <c:formatCode>#,##0.00</c:formatCode>
                <c:ptCount val="2"/>
                <c:pt idx="0">
                  <c:v>26.8</c:v>
                </c:pt>
                <c:pt idx="1">
                  <c:v>24.7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C-416A-8A9E-2BEE3C2A9A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516405"/>
        <c:axId val="60091455"/>
      </c:barChart>
      <c:catAx>
        <c:axId val="8051640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1455"/>
        <c:crosses val="autoZero"/>
        <c:auto val="1"/>
        <c:lblAlgn val="ctr"/>
        <c:lblOffset val="100"/>
        <c:noMultiLvlLbl val="0"/>
      </c:catAx>
      <c:valAx>
        <c:axId val="600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6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Rentals by Category &amp;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EDA_Q10!$C$4</c:f>
              <c:strCache>
                <c:ptCount val="1"/>
                <c:pt idx="0">
                  <c:v>total_rentals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EDA_Q10!$A$5:$A$20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EDA_Q10!$C$5:$C$20</c:f>
              <c:numCache>
                <c:formatCode>#,##0</c:formatCode>
                <c:ptCount val="16"/>
                <c:pt idx="0">
                  <c:v>1112</c:v>
                </c:pt>
                <c:pt idx="1">
                  <c:v>1166</c:v>
                </c:pt>
                <c:pt idx="2">
                  <c:v>945</c:v>
                </c:pt>
                <c:pt idx="3">
                  <c:v>939</c:v>
                </c:pt>
                <c:pt idx="4">
                  <c:v>941</c:v>
                </c:pt>
                <c:pt idx="5">
                  <c:v>1050</c:v>
                </c:pt>
                <c:pt idx="6">
                  <c:v>1060</c:v>
                </c:pt>
                <c:pt idx="7">
                  <c:v>1096</c:v>
                </c:pt>
                <c:pt idx="8">
                  <c:v>1033</c:v>
                </c:pt>
                <c:pt idx="9">
                  <c:v>969</c:v>
                </c:pt>
                <c:pt idx="10">
                  <c:v>846</c:v>
                </c:pt>
                <c:pt idx="11">
                  <c:v>830</c:v>
                </c:pt>
                <c:pt idx="12">
                  <c:v>940</c:v>
                </c:pt>
                <c:pt idx="13">
                  <c:v>1101</c:v>
                </c:pt>
                <c:pt idx="14">
                  <c:v>1179</c:v>
                </c:pt>
                <c:pt idx="15">
                  <c:v>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4-4732-BF2E-987CEFCF47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203522"/>
        <c:axId val="87025079"/>
      </c:barChart>
      <c:catAx>
        <c:axId val="542035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5079"/>
        <c:crosses val="autoZero"/>
        <c:auto val="1"/>
        <c:lblAlgn val="ctr"/>
        <c:lblOffset val="100"/>
        <c:noMultiLvlLbl val="0"/>
      </c:catAx>
      <c:valAx>
        <c:axId val="8702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35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20 Customer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EDA_Q11!$E$4</c:f>
              <c:strCache>
                <c:ptCount val="1"/>
                <c:pt idx="0">
                  <c:v>total_spent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EDA_Q11!$A$5:$A$24</c:f>
              <c:strCache>
                <c:ptCount val="2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MARION SNYDER</c:v>
                </c:pt>
                <c:pt idx="4">
                  <c:v>RHONDA KENNEDY</c:v>
                </c:pt>
                <c:pt idx="5">
                  <c:v>TOMMY COLLAZO</c:v>
                </c:pt>
                <c:pt idx="6">
                  <c:v>WESLEY BULL</c:v>
                </c:pt>
                <c:pt idx="7">
                  <c:v>TIM CARY</c:v>
                </c:pt>
                <c:pt idx="8">
                  <c:v>MARCIA DEAN</c:v>
                </c:pt>
                <c:pt idx="9">
                  <c:v>ANA BRADLEY</c:v>
                </c:pt>
                <c:pt idx="10">
                  <c:v>JUNE CARROLL</c:v>
                </c:pt>
                <c:pt idx="11">
                  <c:v>DIANE COLLINS</c:v>
                </c:pt>
                <c:pt idx="12">
                  <c:v>LENA JENSEN</c:v>
                </c:pt>
                <c:pt idx="13">
                  <c:v>ARNOLD HAVENS</c:v>
                </c:pt>
                <c:pt idx="14">
                  <c:v>CURTIS IRBY</c:v>
                </c:pt>
                <c:pt idx="15">
                  <c:v>MIKE WAY</c:v>
                </c:pt>
                <c:pt idx="16">
                  <c:v>DAISY BATES</c:v>
                </c:pt>
                <c:pt idx="17">
                  <c:v>TONYA CHAPMAN</c:v>
                </c:pt>
                <c:pt idx="18">
                  <c:v>LOUIS LEONE</c:v>
                </c:pt>
                <c:pt idx="19">
                  <c:v>GORDON ALLARD</c:v>
                </c:pt>
              </c:strCache>
            </c:strRef>
          </c:cat>
          <c:val>
            <c:numRef>
              <c:f>EDA_Q11!$E$5:$E$24</c:f>
              <c:numCache>
                <c:formatCode>#,##0.00</c:formatCode>
                <c:ptCount val="2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  <c:pt idx="10">
                  <c:v>173.63</c:v>
                </c:pt>
                <c:pt idx="11">
                  <c:v>169.65</c:v>
                </c:pt>
                <c:pt idx="12">
                  <c:v>168.68</c:v>
                </c:pt>
                <c:pt idx="13">
                  <c:v>167.67</c:v>
                </c:pt>
                <c:pt idx="14">
                  <c:v>167.62</c:v>
                </c:pt>
                <c:pt idx="15">
                  <c:v>166.65</c:v>
                </c:pt>
                <c:pt idx="16">
                  <c:v>162.62</c:v>
                </c:pt>
                <c:pt idx="17">
                  <c:v>161.68</c:v>
                </c:pt>
                <c:pt idx="18">
                  <c:v>161.65</c:v>
                </c:pt>
                <c:pt idx="19">
                  <c:v>160.68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8-4812-9009-E89B41755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005038"/>
        <c:axId val="77691974"/>
      </c:barChart>
      <c:catAx>
        <c:axId val="800503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91974"/>
        <c:crosses val="autoZero"/>
        <c:auto val="1"/>
        <c:lblAlgn val="ctr"/>
        <c:lblOffset val="100"/>
        <c:noMultiLvlLbl val="0"/>
      </c:catAx>
      <c:valAx>
        <c:axId val="776919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0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EDA_Q12!$G$4</c:f>
              <c:strCache>
                <c:ptCount val="1"/>
                <c:pt idx="0">
                  <c:v>rentals_per_copy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EDA_Q12!$C$5:$C$24</c:f>
              <c:numCache>
                <c:formatCode>0.00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</c:numCache>
            </c:numRef>
          </c:xVal>
          <c:yVal>
            <c:numRef>
              <c:f>EDA_Q12!$G$5:$G$24</c:f>
              <c:numCache>
                <c:formatCode>#,##0</c:formatCode>
                <c:ptCount val="20"/>
                <c:pt idx="0">
                  <c:v>2.33</c:v>
                </c:pt>
                <c:pt idx="1">
                  <c:v>3</c:v>
                </c:pt>
                <c:pt idx="2">
                  <c:v>3.29</c:v>
                </c:pt>
                <c:pt idx="3">
                  <c:v>4</c:v>
                </c:pt>
                <c:pt idx="4">
                  <c:v>3.5</c:v>
                </c:pt>
                <c:pt idx="5">
                  <c:v>3</c:v>
                </c:pt>
                <c:pt idx="6">
                  <c:v>4.5</c:v>
                </c:pt>
                <c:pt idx="7">
                  <c:v>2.4</c:v>
                </c:pt>
                <c:pt idx="8">
                  <c:v>3.29</c:v>
                </c:pt>
                <c:pt idx="9">
                  <c:v>3.43</c:v>
                </c:pt>
                <c:pt idx="10">
                  <c:v>3.71</c:v>
                </c:pt>
                <c:pt idx="11">
                  <c:v>2.25</c:v>
                </c:pt>
                <c:pt idx="12">
                  <c:v>3.67</c:v>
                </c:pt>
                <c:pt idx="13">
                  <c:v>3.5</c:v>
                </c:pt>
                <c:pt idx="14">
                  <c:v>3</c:v>
                </c:pt>
                <c:pt idx="15">
                  <c:v>3.67</c:v>
                </c:pt>
                <c:pt idx="16">
                  <c:v>3.5</c:v>
                </c:pt>
                <c:pt idx="17">
                  <c:v>3.33</c:v>
                </c:pt>
                <c:pt idx="18">
                  <c:v>3.67</c:v>
                </c:pt>
                <c:pt idx="19">
                  <c:v>2.88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2-4070-AAC4-ECE769983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82639"/>
        <c:axId val="733283599"/>
      </c:scatterChart>
      <c:valAx>
        <c:axId val="73328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83599"/>
        <c:crosses val="autoZero"/>
        <c:crossBetween val="midCat"/>
      </c:valAx>
      <c:valAx>
        <c:axId val="7332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8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[Movie_Rental_EDA_Final.xlsx]EDA_Q13!PivotTable1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EDA_Q13!$B$41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EDA_Q13!$A$42:$A$66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EDA_Q13!$B$42:$B$66</c:f>
              <c:numCache>
                <c:formatCode>#,##0</c:formatCode>
                <c:ptCount val="24"/>
                <c:pt idx="0">
                  <c:v>342</c:v>
                </c:pt>
                <c:pt idx="1">
                  <c:v>321</c:v>
                </c:pt>
                <c:pt idx="2">
                  <c:v>295</c:v>
                </c:pt>
                <c:pt idx="3">
                  <c:v>320</c:v>
                </c:pt>
                <c:pt idx="4">
                  <c:v>349</c:v>
                </c:pt>
                <c:pt idx="5">
                  <c:v>327</c:v>
                </c:pt>
                <c:pt idx="6">
                  <c:v>315</c:v>
                </c:pt>
                <c:pt idx="7">
                  <c:v>337</c:v>
                </c:pt>
                <c:pt idx="8">
                  <c:v>343</c:v>
                </c:pt>
                <c:pt idx="9">
                  <c:v>313</c:v>
                </c:pt>
                <c:pt idx="10">
                  <c:v>336</c:v>
                </c:pt>
                <c:pt idx="11">
                  <c:v>307</c:v>
                </c:pt>
                <c:pt idx="12">
                  <c:v>308</c:v>
                </c:pt>
                <c:pt idx="13">
                  <c:v>312</c:v>
                </c:pt>
                <c:pt idx="14">
                  <c:v>330</c:v>
                </c:pt>
                <c:pt idx="15">
                  <c:v>887</c:v>
                </c:pt>
                <c:pt idx="16">
                  <c:v>344</c:v>
                </c:pt>
                <c:pt idx="17">
                  <c:v>303</c:v>
                </c:pt>
                <c:pt idx="18">
                  <c:v>340</c:v>
                </c:pt>
                <c:pt idx="19">
                  <c:v>343</c:v>
                </c:pt>
                <c:pt idx="20">
                  <c:v>322</c:v>
                </c:pt>
                <c:pt idx="21">
                  <c:v>354</c:v>
                </c:pt>
                <c:pt idx="22">
                  <c:v>278</c:v>
                </c:pt>
                <c:pt idx="2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5-406E-9833-2542A4E773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4324735"/>
        <c:axId val="814326655"/>
      </c:barChart>
      <c:catAx>
        <c:axId val="8143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26655"/>
        <c:crosses val="autoZero"/>
        <c:auto val="1"/>
        <c:lblAlgn val="ctr"/>
        <c:lblOffset val="100"/>
        <c:noMultiLvlLbl val="0"/>
      </c:catAx>
      <c:valAx>
        <c:axId val="81432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Rentals by Country &amp;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EDA_Q14!$E$4</c:f>
              <c:strCache>
                <c:ptCount val="1"/>
                <c:pt idx="0">
                  <c:v>total_rentals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EDA_Q14!$A$5:$A$29</c:f>
              <c:strCache>
                <c:ptCount val="25"/>
                <c:pt idx="0">
                  <c:v>Afghanistan</c:v>
                </c:pt>
                <c:pt idx="1">
                  <c:v>Afghanistan</c:v>
                </c:pt>
                <c:pt idx="2">
                  <c:v>Algeria</c:v>
                </c:pt>
                <c:pt idx="3">
                  <c:v>Algeria</c:v>
                </c:pt>
                <c:pt idx="4">
                  <c:v>American Samoa</c:v>
                </c:pt>
                <c:pt idx="5">
                  <c:v>American Samoa</c:v>
                </c:pt>
                <c:pt idx="6">
                  <c:v>Angola</c:v>
                </c:pt>
                <c:pt idx="7">
                  <c:v>Angola</c:v>
                </c:pt>
                <c:pt idx="8">
                  <c:v>Anguilla</c:v>
                </c:pt>
                <c:pt idx="9">
                  <c:v>Anguilla</c:v>
                </c:pt>
                <c:pt idx="10">
                  <c:v>Anguilla</c:v>
                </c:pt>
                <c:pt idx="11">
                  <c:v>Anguilla</c:v>
                </c:pt>
                <c:pt idx="12">
                  <c:v>Anguilla</c:v>
                </c:pt>
                <c:pt idx="13">
                  <c:v>Anguilla</c:v>
                </c:pt>
                <c:pt idx="14">
                  <c:v>Argentina</c:v>
                </c:pt>
                <c:pt idx="15">
                  <c:v>Argentina</c:v>
                </c:pt>
                <c:pt idx="16">
                  <c:v>Armenia</c:v>
                </c:pt>
                <c:pt idx="17">
                  <c:v>Austria</c:v>
                </c:pt>
                <c:pt idx="18">
                  <c:v>Austria</c:v>
                </c:pt>
                <c:pt idx="19">
                  <c:v>Azerbaijan</c:v>
                </c:pt>
                <c:pt idx="20">
                  <c:v>Azerbaijan</c:v>
                </c:pt>
                <c:pt idx="21">
                  <c:v>Azerbaijan</c:v>
                </c:pt>
                <c:pt idx="22">
                  <c:v>Azerbaijan</c:v>
                </c:pt>
                <c:pt idx="23">
                  <c:v>Bahrain</c:v>
                </c:pt>
                <c:pt idx="24">
                  <c:v>Bangladesh</c:v>
                </c:pt>
              </c:strCache>
            </c:strRef>
          </c:cat>
          <c:val>
            <c:numRef>
              <c:f>EDA_Q14!$E$5:$E$29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12</c:v>
                </c:pt>
                <c:pt idx="15">
                  <c:v>12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F-4832-A298-D8598B7F01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9647408"/>
        <c:axId val="49471082"/>
      </c:barChart>
      <c:catAx>
        <c:axId val="7964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1082"/>
        <c:crosses val="autoZero"/>
        <c:auto val="1"/>
        <c:lblAlgn val="ctr"/>
        <c:lblOffset val="100"/>
        <c:noMultiLvlLbl val="0"/>
      </c:catAx>
      <c:valAx>
        <c:axId val="494710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Rentals by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EDA_Q15!$D$4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EDA_Q15!$A$5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EDA_Q15!$D$5</c:f>
              <c:numCache>
                <c:formatCode>#,##0</c:formatCode>
                <c:ptCount val="1"/>
                <c:pt idx="0">
                  <c:v>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7-4822-B532-37F4231B8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94799"/>
        <c:axId val="76575701"/>
      </c:barChart>
      <c:catAx>
        <c:axId val="1329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5701"/>
        <c:crosses val="autoZero"/>
        <c:auto val="1"/>
        <c:lblAlgn val="ctr"/>
        <c:lblOffset val="100"/>
        <c:noMultiLvlLbl val="0"/>
      </c:catAx>
      <c:valAx>
        <c:axId val="76575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30480</xdr:rowOff>
    </xdr:from>
    <xdr:to>
      <xdr:col>3</xdr:col>
      <xdr:colOff>938880</xdr:colOff>
      <xdr:row>46</xdr:row>
      <xdr:rowOff>158640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2</xdr:col>
      <xdr:colOff>426720</xdr:colOff>
      <xdr:row>61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252E5-C348-44AD-9DAA-5AEB50B6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38100</xdr:rowOff>
    </xdr:from>
    <xdr:to>
      <xdr:col>2</xdr:col>
      <xdr:colOff>1419480</xdr:colOff>
      <xdr:row>40</xdr:row>
      <xdr:rowOff>166260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152400</xdr:rowOff>
    </xdr:from>
    <xdr:to>
      <xdr:col>3</xdr:col>
      <xdr:colOff>331920</xdr:colOff>
      <xdr:row>42</xdr:row>
      <xdr:rowOff>97680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175260</xdr:rowOff>
    </xdr:from>
    <xdr:ext cx="6321840" cy="4151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9F71A-C029-4A20-B9EE-114EED1D7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21</xdr:row>
      <xdr:rowOff>15240</xdr:rowOff>
    </xdr:from>
    <xdr:to>
      <xdr:col>2</xdr:col>
      <xdr:colOff>604140</xdr:colOff>
      <xdr:row>43</xdr:row>
      <xdr:rowOff>143400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129540</xdr:rowOff>
    </xdr:from>
    <xdr:to>
      <xdr:col>3</xdr:col>
      <xdr:colOff>605520</xdr:colOff>
      <xdr:row>69</xdr:row>
      <xdr:rowOff>75180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68580</xdr:rowOff>
    </xdr:from>
    <xdr:to>
      <xdr:col>3</xdr:col>
      <xdr:colOff>715320</xdr:colOff>
      <xdr:row>43</xdr:row>
      <xdr:rowOff>13860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53340</xdr:rowOff>
    </xdr:from>
    <xdr:to>
      <xdr:col>2</xdr:col>
      <xdr:colOff>1788480</xdr:colOff>
      <xdr:row>42</xdr:row>
      <xdr:rowOff>181500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2</xdr:col>
      <xdr:colOff>942480</xdr:colOff>
      <xdr:row>56</xdr:row>
      <xdr:rowOff>128160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106680</xdr:rowOff>
    </xdr:from>
    <xdr:to>
      <xdr:col>5</xdr:col>
      <xdr:colOff>845820</xdr:colOff>
      <xdr:row>67</xdr:row>
      <xdr:rowOff>175260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0</xdr:colOff>
      <xdr:row>54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0E9ED-703A-4607-BA88-4CA34C124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42</xdr:row>
      <xdr:rowOff>129540</xdr:rowOff>
    </xdr:from>
    <xdr:to>
      <xdr:col>9</xdr:col>
      <xdr:colOff>312420</xdr:colOff>
      <xdr:row>60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E70C7-58BE-4D2D-83E6-414725C0F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160020</xdr:rowOff>
    </xdr:from>
    <xdr:to>
      <xdr:col>3</xdr:col>
      <xdr:colOff>515160</xdr:colOff>
      <xdr:row>68</xdr:row>
      <xdr:rowOff>105300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15240</xdr:rowOff>
    </xdr:from>
    <xdr:to>
      <xdr:col>1</xdr:col>
      <xdr:colOff>2667000</xdr:colOff>
      <xdr:row>41</xdr:row>
      <xdr:rowOff>143400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Movie_Rental_Analytics_Cleaned.xlsx" TargetMode="External"/><Relationship Id="rId1" Type="http://schemas.openxmlformats.org/officeDocument/2006/relationships/externalLinkPath" Target="file:///C:\Users\Lenovo\Downloads\Movie_Rental_Analytics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ress"/>
      <sheetName val="actor"/>
      <sheetName val="category"/>
      <sheetName val="city"/>
      <sheetName val="country"/>
      <sheetName val="customer"/>
      <sheetName val="film"/>
      <sheetName val="film_actor"/>
      <sheetName val="film_category"/>
      <sheetName val="film_text"/>
      <sheetName val="inventory"/>
      <sheetName val="language"/>
      <sheetName val="payment"/>
      <sheetName val="rental"/>
      <sheetName val="staff"/>
      <sheetName val="store"/>
      <sheetName val="EDA_Index"/>
      <sheetName val="EDA_Q1"/>
      <sheetName val="EDA_Q2"/>
      <sheetName val="EDA_Q3"/>
      <sheetName val="EDA_Q4"/>
      <sheetName val="EDA_Q5"/>
      <sheetName val="EDA_Q6"/>
      <sheetName val="EDA_Q7"/>
      <sheetName val="EDA_Q8"/>
      <sheetName val="EDA_Q9"/>
      <sheetName val="EDA_Q10"/>
      <sheetName val="EDA_Q11"/>
      <sheetName val="EDA_Q12"/>
      <sheetName val="EDA_Q13"/>
      <sheetName val="EDA_Q14"/>
      <sheetName val="EDA_Q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D4" t="str">
            <v>Rental Rate</v>
          </cell>
        </row>
        <row r="5">
          <cell r="B5" t="str">
            <v>BUCKET BROTHERHOOD</v>
          </cell>
          <cell r="D5">
            <v>4.99</v>
          </cell>
        </row>
        <row r="6">
          <cell r="B6" t="str">
            <v>ROCKETEER MOTHER</v>
          </cell>
          <cell r="D6">
            <v>0.99</v>
          </cell>
        </row>
        <row r="7">
          <cell r="B7" t="str">
            <v>SCALAWAG DUCK</v>
          </cell>
          <cell r="D7">
            <v>4.99</v>
          </cell>
        </row>
        <row r="8">
          <cell r="B8" t="str">
            <v>RIDGEMONT SUBMARINE</v>
          </cell>
          <cell r="D8">
            <v>0.99</v>
          </cell>
        </row>
        <row r="9">
          <cell r="B9" t="str">
            <v>FORWARD TEMPLE</v>
          </cell>
          <cell r="D9">
            <v>2.99</v>
          </cell>
        </row>
        <row r="10">
          <cell r="B10" t="str">
            <v>GRIT CLOCKWORK</v>
          </cell>
          <cell r="D10">
            <v>0.99</v>
          </cell>
        </row>
        <row r="11">
          <cell r="B11" t="str">
            <v>JUGGLER HARDLY</v>
          </cell>
          <cell r="D11">
            <v>0.99</v>
          </cell>
        </row>
        <row r="12">
          <cell r="B12" t="str">
            <v>WIFE TURN</v>
          </cell>
          <cell r="D12">
            <v>4.99</v>
          </cell>
        </row>
        <row r="13">
          <cell r="B13" t="str">
            <v>ZORRO ARK</v>
          </cell>
          <cell r="D13">
            <v>4.99</v>
          </cell>
        </row>
        <row r="14">
          <cell r="B14" t="str">
            <v>GOODFELLAS SALUTE</v>
          </cell>
          <cell r="D14">
            <v>4.99</v>
          </cell>
        </row>
        <row r="15">
          <cell r="B15" t="str">
            <v>APACHE DIVINE</v>
          </cell>
          <cell r="D15">
            <v>4.99</v>
          </cell>
        </row>
        <row r="16">
          <cell r="B16" t="str">
            <v>NETWORK PEAK</v>
          </cell>
          <cell r="D16">
            <v>2.99</v>
          </cell>
        </row>
        <row r="17">
          <cell r="B17" t="str">
            <v>TIMBERLAND SKY</v>
          </cell>
          <cell r="D17">
            <v>0.99</v>
          </cell>
        </row>
        <row r="18">
          <cell r="B18" t="str">
            <v>ROBBERS JOON</v>
          </cell>
          <cell r="D18">
            <v>2.99</v>
          </cell>
        </row>
        <row r="19">
          <cell r="B19" t="str">
            <v>RUSH GOODFELLAS</v>
          </cell>
          <cell r="D19">
            <v>0.99</v>
          </cell>
        </row>
        <row r="20">
          <cell r="B20" t="str">
            <v>HOBBIT ALIEN</v>
          </cell>
          <cell r="D20">
            <v>0.99</v>
          </cell>
        </row>
        <row r="21">
          <cell r="B21" t="str">
            <v>HARRY IDAHO</v>
          </cell>
          <cell r="D21">
            <v>4.99</v>
          </cell>
        </row>
        <row r="22">
          <cell r="B22" t="str">
            <v>CAT CONEHEADS</v>
          </cell>
          <cell r="D22">
            <v>4.99</v>
          </cell>
        </row>
        <row r="23">
          <cell r="B23" t="str">
            <v>MASSACRE USUAL</v>
          </cell>
          <cell r="D23">
            <v>4.99</v>
          </cell>
        </row>
        <row r="24">
          <cell r="B24" t="str">
            <v>DOGMA FAMILY</v>
          </cell>
          <cell r="D24">
            <v>4.99</v>
          </cell>
        </row>
      </sheetData>
      <sheetData sheetId="19"/>
      <sheetData sheetId="20"/>
      <sheetData sheetId="21">
        <row r="4">
          <cell r="F4" t="str">
            <v>Total Revenue</v>
          </cell>
        </row>
        <row r="5">
          <cell r="B5" t="str">
            <v>High Activity</v>
          </cell>
          <cell r="F5">
            <v>63147.69</v>
          </cell>
        </row>
        <row r="6">
          <cell r="B6" t="str">
            <v>Medium Activity</v>
          </cell>
          <cell r="F6">
            <v>4258.87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>
        <row r="41">
          <cell r="B41" t="str">
            <v>Sum of total_rentals</v>
          </cell>
        </row>
        <row r="42">
          <cell r="A42">
            <v>0</v>
          </cell>
          <cell r="B42">
            <v>342</v>
          </cell>
        </row>
        <row r="43">
          <cell r="A43">
            <v>1</v>
          </cell>
          <cell r="B43">
            <v>321</v>
          </cell>
        </row>
        <row r="44">
          <cell r="A44">
            <v>2</v>
          </cell>
          <cell r="B44">
            <v>295</v>
          </cell>
        </row>
        <row r="45">
          <cell r="A45">
            <v>3</v>
          </cell>
          <cell r="B45">
            <v>320</v>
          </cell>
        </row>
        <row r="46">
          <cell r="A46">
            <v>4</v>
          </cell>
          <cell r="B46">
            <v>349</v>
          </cell>
        </row>
        <row r="47">
          <cell r="A47">
            <v>5</v>
          </cell>
          <cell r="B47">
            <v>327</v>
          </cell>
        </row>
        <row r="48">
          <cell r="A48">
            <v>6</v>
          </cell>
          <cell r="B48">
            <v>315</v>
          </cell>
        </row>
        <row r="49">
          <cell r="A49">
            <v>7</v>
          </cell>
          <cell r="B49">
            <v>337</v>
          </cell>
        </row>
        <row r="50">
          <cell r="A50">
            <v>8</v>
          </cell>
          <cell r="B50">
            <v>343</v>
          </cell>
        </row>
        <row r="51">
          <cell r="A51">
            <v>9</v>
          </cell>
          <cell r="B51">
            <v>313</v>
          </cell>
        </row>
        <row r="52">
          <cell r="A52">
            <v>10</v>
          </cell>
          <cell r="B52">
            <v>336</v>
          </cell>
        </row>
        <row r="53">
          <cell r="A53">
            <v>11</v>
          </cell>
          <cell r="B53">
            <v>307</v>
          </cell>
        </row>
        <row r="54">
          <cell r="A54">
            <v>12</v>
          </cell>
          <cell r="B54">
            <v>308</v>
          </cell>
        </row>
        <row r="55">
          <cell r="A55">
            <v>13</v>
          </cell>
          <cell r="B55">
            <v>312</v>
          </cell>
        </row>
        <row r="56">
          <cell r="A56">
            <v>14</v>
          </cell>
          <cell r="B56">
            <v>330</v>
          </cell>
        </row>
        <row r="57">
          <cell r="A57">
            <v>15</v>
          </cell>
          <cell r="B57">
            <v>887</v>
          </cell>
        </row>
        <row r="58">
          <cell r="A58">
            <v>16</v>
          </cell>
          <cell r="B58">
            <v>344</v>
          </cell>
        </row>
        <row r="59">
          <cell r="A59">
            <v>17</v>
          </cell>
          <cell r="B59">
            <v>303</v>
          </cell>
        </row>
        <row r="60">
          <cell r="A60">
            <v>18</v>
          </cell>
          <cell r="B60">
            <v>340</v>
          </cell>
        </row>
        <row r="61">
          <cell r="A61">
            <v>19</v>
          </cell>
          <cell r="B61">
            <v>343</v>
          </cell>
        </row>
        <row r="62">
          <cell r="A62">
            <v>20</v>
          </cell>
          <cell r="B62">
            <v>322</v>
          </cell>
        </row>
        <row r="63">
          <cell r="A63">
            <v>21</v>
          </cell>
          <cell r="B63">
            <v>354</v>
          </cell>
        </row>
        <row r="64">
          <cell r="A64">
            <v>22</v>
          </cell>
          <cell r="B64">
            <v>278</v>
          </cell>
        </row>
        <row r="65">
          <cell r="A65">
            <v>23</v>
          </cell>
          <cell r="B65">
            <v>330</v>
          </cell>
        </row>
        <row r="66">
          <cell r="A66" t="str">
            <v>Grand Total</v>
          </cell>
          <cell r="B66">
            <v>8356</v>
          </cell>
        </row>
      </sheetData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ovie_Rental_Analytics_Clean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4.103629282406" createdVersion="8" refreshedVersion="8" minRefreshableVersion="3" recordCount="25" xr:uid="{E25BB2B1-3988-4393-82E1-F415FDC59418}">
  <cacheSource type="worksheet">
    <worksheetSource ref="A4:G29" sheet="EDA_Q13" r:id="rId2"/>
  </cacheSource>
  <cacheFields count="7">
    <cacheField name="store_id" numFmtId="3">
      <sharedItems containsSemiMixedTypes="0" containsString="0" containsNumber="1" containsInteger="1" minValue="1" maxValue="2"/>
    </cacheField>
    <cacheField name="store_city" numFmtId="0">
      <sharedItems/>
    </cacheField>
    <cacheField name="hour_of_day" numFmtId="0">
      <sharedItems containsSemiMixedTypes="0" containsString="0" containsNumber="1" containsInteger="1" minValue="0" maxValue="23" count="24">
        <n v="15"/>
        <n v="21"/>
        <n v="4"/>
        <n v="16"/>
        <n v="8"/>
        <n v="19"/>
        <n v="0"/>
        <n v="18"/>
        <n v="7"/>
        <n v="10"/>
        <n v="14"/>
        <n v="23"/>
        <n v="5"/>
        <n v="20"/>
        <n v="1"/>
        <n v="3"/>
        <n v="6"/>
        <n v="9"/>
        <n v="13"/>
        <n v="12"/>
        <n v="11"/>
        <n v="17"/>
        <n v="2"/>
        <n v="22"/>
      </sharedItems>
    </cacheField>
    <cacheField name="total_rentals" numFmtId="3">
      <sharedItems containsSemiMixedTypes="0" containsString="0" containsNumber="1" containsInteger="1" minValue="278" maxValue="454"/>
    </cacheField>
    <cacheField name="unique_customers" numFmtId="3">
      <sharedItems containsSemiMixedTypes="0" containsString="0" containsNumber="1" containsInteger="1" minValue="219" maxValue="327"/>
    </cacheField>
    <cacheField name="revenue" numFmtId="3">
      <sharedItems containsSemiMixedTypes="0" containsString="0" containsNumber="1" minValue="1210.05" maxValue="1775.48"/>
    </cacheField>
    <cacheField name="hour_rank" numFmtId="3">
      <sharedItems containsSemiMixedTypes="0" containsString="0" containsNumber="1" containsInteger="1" minValue="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Lethbridge"/>
    <x v="0"/>
    <n v="454"/>
    <n v="327"/>
    <n v="1775.48"/>
    <n v="1"/>
  </r>
  <r>
    <n v="1"/>
    <s v="Lethbridge"/>
    <x v="1"/>
    <n v="354"/>
    <n v="266"/>
    <n v="1552.46"/>
    <n v="2"/>
  </r>
  <r>
    <n v="1"/>
    <s v="Lethbridge"/>
    <x v="2"/>
    <n v="349"/>
    <n v="265"/>
    <n v="1548.51"/>
    <n v="3"/>
  </r>
  <r>
    <n v="1"/>
    <s v="Lethbridge"/>
    <x v="3"/>
    <n v="344"/>
    <n v="256"/>
    <n v="1438.56"/>
    <n v="4"/>
  </r>
  <r>
    <n v="1"/>
    <s v="Lethbridge"/>
    <x v="4"/>
    <n v="343"/>
    <n v="271"/>
    <n v="1456.57"/>
    <n v="5"/>
  </r>
  <r>
    <n v="1"/>
    <s v="Lethbridge"/>
    <x v="5"/>
    <n v="343"/>
    <n v="254"/>
    <n v="1496.57"/>
    <n v="5"/>
  </r>
  <r>
    <n v="1"/>
    <s v="Lethbridge"/>
    <x v="6"/>
    <n v="342"/>
    <n v="252"/>
    <n v="1448.58"/>
    <n v="7"/>
  </r>
  <r>
    <n v="1"/>
    <s v="Lethbridge"/>
    <x v="7"/>
    <n v="340"/>
    <n v="251"/>
    <n v="1485.6"/>
    <n v="8"/>
  </r>
  <r>
    <n v="1"/>
    <s v="Lethbridge"/>
    <x v="8"/>
    <n v="337"/>
    <n v="261"/>
    <n v="1434.63"/>
    <n v="9"/>
  </r>
  <r>
    <n v="1"/>
    <s v="Lethbridge"/>
    <x v="9"/>
    <n v="336"/>
    <n v="266"/>
    <n v="1457.64"/>
    <n v="10"/>
  </r>
  <r>
    <n v="1"/>
    <s v="Lethbridge"/>
    <x v="10"/>
    <n v="330"/>
    <n v="249"/>
    <n v="1366.7"/>
    <n v="11"/>
  </r>
  <r>
    <n v="1"/>
    <s v="Lethbridge"/>
    <x v="11"/>
    <n v="330"/>
    <n v="254"/>
    <n v="1495.7"/>
    <n v="11"/>
  </r>
  <r>
    <n v="1"/>
    <s v="Lethbridge"/>
    <x v="12"/>
    <n v="327"/>
    <n v="249"/>
    <n v="1450.73"/>
    <n v="13"/>
  </r>
  <r>
    <n v="1"/>
    <s v="Lethbridge"/>
    <x v="13"/>
    <n v="322"/>
    <n v="245"/>
    <n v="1423.78"/>
    <n v="14"/>
  </r>
  <r>
    <n v="1"/>
    <s v="Lethbridge"/>
    <x v="14"/>
    <n v="321"/>
    <n v="252"/>
    <n v="1218.79"/>
    <n v="15"/>
  </r>
  <r>
    <n v="1"/>
    <s v="Lethbridge"/>
    <x v="15"/>
    <n v="320"/>
    <n v="247"/>
    <n v="1308.8"/>
    <n v="16"/>
  </r>
  <r>
    <n v="1"/>
    <s v="Lethbridge"/>
    <x v="16"/>
    <n v="315"/>
    <n v="250"/>
    <n v="1381.85"/>
    <n v="17"/>
  </r>
  <r>
    <n v="1"/>
    <s v="Lethbridge"/>
    <x v="17"/>
    <n v="313"/>
    <n v="244"/>
    <n v="1354.87"/>
    <n v="18"/>
  </r>
  <r>
    <n v="1"/>
    <s v="Lethbridge"/>
    <x v="18"/>
    <n v="312"/>
    <n v="236"/>
    <n v="1285.8800000000001"/>
    <n v="19"/>
  </r>
  <r>
    <n v="1"/>
    <s v="Lethbridge"/>
    <x v="19"/>
    <n v="308"/>
    <n v="249"/>
    <n v="1310.92"/>
    <n v="20"/>
  </r>
  <r>
    <n v="1"/>
    <s v="Lethbridge"/>
    <x v="20"/>
    <n v="307"/>
    <n v="244"/>
    <n v="1298.93"/>
    <n v="21"/>
  </r>
  <r>
    <n v="1"/>
    <s v="Lethbridge"/>
    <x v="21"/>
    <n v="303"/>
    <n v="238"/>
    <n v="1244.97"/>
    <n v="22"/>
  </r>
  <r>
    <n v="1"/>
    <s v="Lethbridge"/>
    <x v="22"/>
    <n v="295"/>
    <n v="229"/>
    <n v="1210.05"/>
    <n v="23"/>
  </r>
  <r>
    <n v="1"/>
    <s v="Lethbridge"/>
    <x v="23"/>
    <n v="278"/>
    <n v="219"/>
    <n v="1233.22"/>
    <n v="24"/>
  </r>
  <r>
    <n v="2"/>
    <s v="Woodridge"/>
    <x v="0"/>
    <n v="433"/>
    <n v="306"/>
    <n v="1739.6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90B22-D4BC-4D4A-ACC4-E8A58B9C11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1:B66" firstHeaderRow="1" firstDataRow="1" firstDataCol="1"/>
  <pivotFields count="7">
    <pivotField numFmtId="3" showAll="0"/>
    <pivotField showAll="0"/>
    <pivotField axis="axisRow" showAll="0">
      <items count="25">
        <item x="6"/>
        <item x="14"/>
        <item x="22"/>
        <item x="15"/>
        <item x="2"/>
        <item x="12"/>
        <item x="16"/>
        <item x="8"/>
        <item x="4"/>
        <item x="17"/>
        <item x="9"/>
        <item x="20"/>
        <item x="19"/>
        <item x="18"/>
        <item x="10"/>
        <item x="0"/>
        <item x="3"/>
        <item x="21"/>
        <item x="7"/>
        <item x="5"/>
        <item x="13"/>
        <item x="1"/>
        <item x="23"/>
        <item x="11"/>
        <item t="default"/>
      </items>
    </pivotField>
    <pivotField dataField="1" numFmtId="3" showAll="0"/>
    <pivotField numFmtId="3" showAll="0"/>
    <pivotField numFmtId="3" showAll="0"/>
    <pivotField numFmtId="3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rentals" fld="3" baseField="0" baseItem="0" numFmtId="3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D17"/>
  <sheetViews>
    <sheetView zoomScaleNormal="100" workbookViewId="0">
      <pane ySplit="2" topLeftCell="A3" activePane="bottomLeft" state="frozen"/>
      <selection pane="bottomLeft" sqref="A1:D1"/>
    </sheetView>
  </sheetViews>
  <sheetFormatPr defaultColWidth="8.6640625" defaultRowHeight="14.4" x14ac:dyDescent="0.3"/>
  <cols>
    <col min="1" max="1" width="14" customWidth="1"/>
    <col min="2" max="2" width="52" customWidth="1"/>
    <col min="3" max="3" width="28" customWidth="1"/>
    <col min="4" max="4" width="14" customWidth="1"/>
  </cols>
  <sheetData>
    <row r="1" spans="1:4" ht="39.75" customHeight="1" x14ac:dyDescent="0.3">
      <c r="A1" s="25" t="s">
        <v>0</v>
      </c>
      <c r="B1" s="25"/>
      <c r="C1" s="25"/>
      <c r="D1" s="25"/>
    </row>
    <row r="2" spans="1:4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" customHeight="1" x14ac:dyDescent="0.3">
      <c r="A3" s="2" t="s">
        <v>5</v>
      </c>
      <c r="B3" s="2" t="s">
        <v>6</v>
      </c>
      <c r="C3" s="2" t="s">
        <v>7</v>
      </c>
      <c r="D3" s="2" t="s">
        <v>8</v>
      </c>
    </row>
    <row r="4" spans="1:4" ht="15" customHeight="1" x14ac:dyDescent="0.3">
      <c r="A4" s="3" t="s">
        <v>9</v>
      </c>
      <c r="B4" s="3" t="s">
        <v>10</v>
      </c>
      <c r="C4" s="3" t="s">
        <v>11</v>
      </c>
      <c r="D4" s="3" t="s">
        <v>8</v>
      </c>
    </row>
    <row r="5" spans="1:4" ht="15" customHeight="1" x14ac:dyDescent="0.3">
      <c r="A5" s="2" t="s">
        <v>12</v>
      </c>
      <c r="B5" s="2" t="s">
        <v>13</v>
      </c>
      <c r="C5" s="2" t="s">
        <v>14</v>
      </c>
      <c r="D5" s="2" t="s">
        <v>8</v>
      </c>
    </row>
    <row r="6" spans="1:4" ht="15" customHeight="1" x14ac:dyDescent="0.3">
      <c r="A6" s="3" t="s">
        <v>15</v>
      </c>
      <c r="B6" s="3" t="s">
        <v>16</v>
      </c>
      <c r="C6" s="3" t="s">
        <v>17</v>
      </c>
      <c r="D6" s="3" t="s">
        <v>8</v>
      </c>
    </row>
    <row r="7" spans="1:4" ht="15" customHeight="1" x14ac:dyDescent="0.3">
      <c r="A7" s="2" t="s">
        <v>18</v>
      </c>
      <c r="B7" s="2" t="s">
        <v>19</v>
      </c>
      <c r="C7" s="2" t="s">
        <v>20</v>
      </c>
      <c r="D7" s="2" t="s">
        <v>8</v>
      </c>
    </row>
    <row r="8" spans="1:4" ht="15" customHeight="1" x14ac:dyDescent="0.3">
      <c r="A8" s="3" t="s">
        <v>21</v>
      </c>
      <c r="B8" s="3" t="s">
        <v>22</v>
      </c>
      <c r="C8" s="3" t="s">
        <v>23</v>
      </c>
      <c r="D8" s="3" t="s">
        <v>8</v>
      </c>
    </row>
    <row r="9" spans="1:4" ht="15" customHeight="1" x14ac:dyDescent="0.3">
      <c r="A9" s="2" t="s">
        <v>24</v>
      </c>
      <c r="B9" s="2" t="s">
        <v>25</v>
      </c>
      <c r="C9" s="2" t="s">
        <v>26</v>
      </c>
      <c r="D9" s="2" t="s">
        <v>8</v>
      </c>
    </row>
    <row r="10" spans="1:4" ht="15" customHeight="1" x14ac:dyDescent="0.3">
      <c r="A10" s="3" t="s">
        <v>27</v>
      </c>
      <c r="B10" s="3" t="s">
        <v>28</v>
      </c>
      <c r="C10" s="3" t="s">
        <v>14</v>
      </c>
      <c r="D10" s="3" t="s">
        <v>8</v>
      </c>
    </row>
    <row r="11" spans="1:4" ht="15" customHeight="1" x14ac:dyDescent="0.3">
      <c r="A11" s="2" t="s">
        <v>29</v>
      </c>
      <c r="B11" s="2" t="s">
        <v>30</v>
      </c>
      <c r="C11" s="2" t="s">
        <v>31</v>
      </c>
      <c r="D11" s="2" t="s">
        <v>8</v>
      </c>
    </row>
    <row r="12" spans="1:4" ht="15" customHeight="1" x14ac:dyDescent="0.3">
      <c r="A12" s="3" t="s">
        <v>32</v>
      </c>
      <c r="B12" s="3" t="s">
        <v>33</v>
      </c>
      <c r="C12" s="3" t="s">
        <v>34</v>
      </c>
      <c r="D12" s="3" t="s">
        <v>8</v>
      </c>
    </row>
    <row r="13" spans="1:4" ht="15" customHeight="1" x14ac:dyDescent="0.3">
      <c r="A13" s="2" t="s">
        <v>35</v>
      </c>
      <c r="B13" s="2" t="s">
        <v>36</v>
      </c>
      <c r="C13" s="2" t="s">
        <v>37</v>
      </c>
      <c r="D13" s="2" t="s">
        <v>8</v>
      </c>
    </row>
    <row r="14" spans="1:4" ht="15" customHeight="1" x14ac:dyDescent="0.3">
      <c r="A14" s="3" t="s">
        <v>38</v>
      </c>
      <c r="B14" s="3" t="s">
        <v>39</v>
      </c>
      <c r="C14" s="3" t="s">
        <v>40</v>
      </c>
      <c r="D14" s="3" t="s">
        <v>8</v>
      </c>
    </row>
    <row r="15" spans="1:4" ht="15" customHeight="1" x14ac:dyDescent="0.3">
      <c r="A15" s="2" t="s">
        <v>41</v>
      </c>
      <c r="B15" s="2" t="s">
        <v>42</v>
      </c>
      <c r="C15" s="2" t="s">
        <v>43</v>
      </c>
      <c r="D15" s="2" t="s">
        <v>8</v>
      </c>
    </row>
    <row r="16" spans="1:4" ht="15" customHeight="1" x14ac:dyDescent="0.3">
      <c r="A16" s="3" t="s">
        <v>44</v>
      </c>
      <c r="B16" s="3" t="s">
        <v>45</v>
      </c>
      <c r="C16" s="3" t="s">
        <v>46</v>
      </c>
      <c r="D16" s="3" t="s">
        <v>8</v>
      </c>
    </row>
    <row r="17" spans="1:4" ht="15" customHeight="1" x14ac:dyDescent="0.3">
      <c r="A17" s="2" t="s">
        <v>47</v>
      </c>
      <c r="B17" s="2" t="s">
        <v>48</v>
      </c>
      <c r="C17" s="2" t="s">
        <v>49</v>
      </c>
      <c r="D17" s="2" t="s">
        <v>8</v>
      </c>
    </row>
  </sheetData>
  <mergeCells count="1">
    <mergeCell ref="A1:D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F23"/>
  <sheetViews>
    <sheetView zoomScaleNormal="100" workbookViewId="0">
      <pane ySplit="1" topLeftCell="A14" activePane="bottomLeft" state="frozen"/>
      <selection pane="bottomLeft" activeCell="A2" sqref="A2:XFD2"/>
    </sheetView>
  </sheetViews>
  <sheetFormatPr defaultColWidth="8.6640625" defaultRowHeight="14.4" x14ac:dyDescent="0.3"/>
  <cols>
    <col min="1" max="1" width="26.77734375" customWidth="1"/>
    <col min="2" max="2" width="45.44140625" customWidth="1"/>
    <col min="3" max="3" width="16.33203125" customWidth="1"/>
    <col min="4" max="4" width="17" customWidth="1"/>
    <col min="5" max="5" width="24" customWidth="1"/>
    <col min="6" max="6" width="16.88671875" customWidth="1"/>
  </cols>
  <sheetData>
    <row r="1" spans="1:6" ht="36" customHeight="1" x14ac:dyDescent="0.3">
      <c r="A1" s="20" t="s">
        <v>6</v>
      </c>
      <c r="B1" s="20"/>
      <c r="C1" s="20"/>
      <c r="D1" s="20"/>
      <c r="E1" s="20"/>
      <c r="F1" s="20"/>
    </row>
    <row r="2" spans="1:6" ht="18" thickBot="1" x14ac:dyDescent="0.35">
      <c r="A2" s="26" t="s">
        <v>453</v>
      </c>
      <c r="B2" s="27"/>
      <c r="C2" s="27"/>
      <c r="D2" s="27"/>
      <c r="E2" s="27"/>
      <c r="F2" s="27"/>
    </row>
    <row r="3" spans="1:6" ht="330.6" customHeight="1" thickBot="1" x14ac:dyDescent="0.35">
      <c r="A3" s="28" t="s">
        <v>454</v>
      </c>
      <c r="B3" s="27"/>
      <c r="C3" s="27"/>
      <c r="D3" s="27"/>
      <c r="E3" s="27"/>
      <c r="F3" s="27"/>
    </row>
    <row r="7" spans="1:6" ht="15" customHeight="1" x14ac:dyDescent="0.3"/>
    <row r="8" spans="1:6" ht="15" customHeight="1" x14ac:dyDescent="0.3">
      <c r="A8" s="21" t="s">
        <v>50</v>
      </c>
      <c r="B8" s="21"/>
      <c r="C8" s="21"/>
      <c r="D8" s="21"/>
      <c r="E8" s="21"/>
      <c r="F8" s="21"/>
    </row>
    <row r="9" spans="1:6" x14ac:dyDescent="0.3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7</v>
      </c>
    </row>
    <row r="10" spans="1:6" ht="15" customHeight="1" x14ac:dyDescent="0.3">
      <c r="A10" s="3" t="s">
        <v>56</v>
      </c>
      <c r="B10" s="4">
        <v>599</v>
      </c>
      <c r="C10" s="5">
        <v>26.78</v>
      </c>
      <c r="D10" s="5">
        <v>112.53</v>
      </c>
      <c r="E10" s="6">
        <v>4.2</v>
      </c>
      <c r="F10" s="5">
        <v>67406.559999999998</v>
      </c>
    </row>
    <row r="11" spans="1:6" ht="15" customHeight="1" x14ac:dyDescent="0.3"/>
    <row r="12" spans="1:6" ht="15" customHeight="1" x14ac:dyDescent="0.3">
      <c r="A12" s="22" t="s">
        <v>57</v>
      </c>
      <c r="B12" s="22"/>
      <c r="C12" s="22"/>
    </row>
    <row r="13" spans="1:6" ht="15" customHeight="1" x14ac:dyDescent="0.3">
      <c r="A13" s="7" t="s">
        <v>58</v>
      </c>
      <c r="B13" s="7" t="s">
        <v>59</v>
      </c>
      <c r="C13" s="7" t="s">
        <v>56</v>
      </c>
    </row>
    <row r="14" spans="1:6" ht="15" customHeight="1" x14ac:dyDescent="0.3">
      <c r="A14" s="3" t="s">
        <v>60</v>
      </c>
      <c r="B14" s="3" t="s">
        <v>61</v>
      </c>
      <c r="C14" s="8" t="s">
        <v>62</v>
      </c>
      <c r="D14" s="9"/>
    </row>
    <row r="15" spans="1:6" x14ac:dyDescent="0.3">
      <c r="A15" s="2" t="s">
        <v>63</v>
      </c>
      <c r="B15" s="2" t="s">
        <v>64</v>
      </c>
      <c r="C15" s="10">
        <v>1</v>
      </c>
    </row>
    <row r="16" spans="1:6" ht="18" customHeight="1" x14ac:dyDescent="0.3">
      <c r="A16" s="3" t="s">
        <v>65</v>
      </c>
      <c r="B16" s="3" t="s">
        <v>66</v>
      </c>
      <c r="C16" s="11" t="s">
        <v>67</v>
      </c>
      <c r="D16" s="12"/>
    </row>
    <row r="17" spans="1:6" ht="39.75" customHeight="1" x14ac:dyDescent="0.3"/>
    <row r="18" spans="1:6" ht="39.75" customHeight="1" x14ac:dyDescent="0.3">
      <c r="A18" s="23" t="s">
        <v>68</v>
      </c>
      <c r="B18" s="23"/>
      <c r="C18" s="23"/>
      <c r="D18" s="23"/>
      <c r="E18" s="23"/>
      <c r="F18" s="23"/>
    </row>
    <row r="19" spans="1:6" ht="36.6" customHeight="1" x14ac:dyDescent="0.3">
      <c r="A19" s="1" t="s">
        <v>69</v>
      </c>
      <c r="B19" s="24" t="s">
        <v>70</v>
      </c>
      <c r="C19" s="24"/>
      <c r="D19" s="24"/>
      <c r="E19" s="24"/>
      <c r="F19" s="24"/>
    </row>
    <row r="20" spans="1:6" ht="42.6" customHeight="1" x14ac:dyDescent="0.3">
      <c r="A20" s="1" t="s">
        <v>71</v>
      </c>
      <c r="B20" s="18" t="s">
        <v>72</v>
      </c>
      <c r="C20" s="18"/>
      <c r="D20" s="18"/>
      <c r="E20" s="18"/>
      <c r="F20" s="18"/>
    </row>
    <row r="21" spans="1:6" ht="48" customHeight="1" x14ac:dyDescent="0.3">
      <c r="A21" s="1" t="s">
        <v>73</v>
      </c>
      <c r="B21" s="19" t="s">
        <v>74</v>
      </c>
      <c r="C21" s="19"/>
      <c r="D21" s="19"/>
      <c r="E21" s="19"/>
      <c r="F21" s="19"/>
    </row>
    <row r="23" spans="1:6" ht="17.399999999999999" x14ac:dyDescent="0.3">
      <c r="A23" s="17" t="s">
        <v>452</v>
      </c>
      <c r="B23" s="17"/>
    </row>
  </sheetData>
  <mergeCells count="10">
    <mergeCell ref="A1:F1"/>
    <mergeCell ref="A8:F8"/>
    <mergeCell ref="A12:C12"/>
    <mergeCell ref="A18:F18"/>
    <mergeCell ref="B19:F19"/>
    <mergeCell ref="A23:B23"/>
    <mergeCell ref="A2:F2"/>
    <mergeCell ref="A3:F3"/>
    <mergeCell ref="B20:F20"/>
    <mergeCell ref="B21:F21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FD47-4BFB-4287-9DCF-30FF393BA387}">
  <sheetPr>
    <tabColor rgb="FFFFFF00"/>
  </sheetPr>
  <dimension ref="A1:L37"/>
  <sheetViews>
    <sheetView zoomScaleNormal="100" workbookViewId="0">
      <pane ySplit="1" topLeftCell="A2" activePane="bottomLeft" state="frozen"/>
      <selection pane="bottomLeft" activeCell="E51" sqref="E51"/>
    </sheetView>
  </sheetViews>
  <sheetFormatPr defaultColWidth="8.6640625" defaultRowHeight="14.4" x14ac:dyDescent="0.3"/>
  <cols>
    <col min="1" max="1" width="22" style="33" customWidth="1"/>
    <col min="2" max="2" width="53.44140625" style="33" customWidth="1"/>
    <col min="3" max="3" width="34.33203125" style="33" customWidth="1"/>
    <col min="4" max="4" width="13" style="33" customWidth="1"/>
    <col min="5" max="5" width="17" style="33" customWidth="1"/>
    <col min="6" max="6" width="10" style="33" customWidth="1"/>
    <col min="7" max="7" width="18" style="33" customWidth="1"/>
    <col min="8" max="8" width="15" style="33" customWidth="1"/>
    <col min="9" max="9" width="8.6640625" style="33"/>
    <col min="10" max="10" width="13" style="33" customWidth="1"/>
    <col min="11" max="11" width="22" style="33" customWidth="1"/>
    <col min="12" max="12" width="20.88671875" style="33" customWidth="1"/>
    <col min="13" max="16384" width="8.6640625" style="33"/>
  </cols>
  <sheetData>
    <row r="1" spans="1:12" ht="36" customHeight="1" x14ac:dyDescent="0.3">
      <c r="A1" s="32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2" ht="15" customHeight="1" x14ac:dyDescent="0.3">
      <c r="A3" s="34" t="s">
        <v>75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2" ht="15" customHeight="1" x14ac:dyDescent="0.3">
      <c r="A4" s="35" t="s">
        <v>76</v>
      </c>
      <c r="B4" s="35" t="s">
        <v>77</v>
      </c>
      <c r="C4" s="35" t="s">
        <v>78</v>
      </c>
      <c r="D4" s="35" t="s">
        <v>79</v>
      </c>
      <c r="E4" s="35" t="s">
        <v>80</v>
      </c>
      <c r="F4" s="35" t="s">
        <v>81</v>
      </c>
      <c r="G4" s="35" t="s">
        <v>82</v>
      </c>
      <c r="H4" s="35" t="s">
        <v>83</v>
      </c>
      <c r="I4" s="35" t="s">
        <v>84</v>
      </c>
      <c r="J4" s="35" t="s">
        <v>85</v>
      </c>
      <c r="K4" s="35" t="s">
        <v>86</v>
      </c>
      <c r="L4" s="35" t="s">
        <v>86</v>
      </c>
    </row>
    <row r="5" spans="1:12" ht="15" customHeight="1" x14ac:dyDescent="0.3">
      <c r="A5" s="36">
        <v>103</v>
      </c>
      <c r="B5" s="37" t="s">
        <v>87</v>
      </c>
      <c r="C5" s="37" t="s">
        <v>88</v>
      </c>
      <c r="D5" s="38">
        <v>4.99</v>
      </c>
      <c r="E5" s="36">
        <v>7</v>
      </c>
      <c r="F5" s="37" t="s">
        <v>89</v>
      </c>
      <c r="G5" s="39">
        <v>27.99</v>
      </c>
      <c r="H5" s="36">
        <v>34</v>
      </c>
      <c r="I5" s="39">
        <v>180.66</v>
      </c>
      <c r="J5" s="38">
        <v>5.31</v>
      </c>
      <c r="K5" s="39">
        <v>121.47</v>
      </c>
      <c r="L5" s="39">
        <v>121.47</v>
      </c>
    </row>
    <row r="6" spans="1:12" ht="15" customHeight="1" x14ac:dyDescent="0.3">
      <c r="A6" s="40">
        <v>738</v>
      </c>
      <c r="B6" s="41" t="s">
        <v>90</v>
      </c>
      <c r="C6" s="41" t="s">
        <v>91</v>
      </c>
      <c r="D6" s="42">
        <v>0.99</v>
      </c>
      <c r="E6" s="40">
        <v>3</v>
      </c>
      <c r="F6" s="41" t="s">
        <v>92</v>
      </c>
      <c r="G6" s="43">
        <v>27.99</v>
      </c>
      <c r="H6" s="40">
        <v>33</v>
      </c>
      <c r="I6" s="43">
        <v>116.67</v>
      </c>
      <c r="J6" s="42">
        <v>3.54</v>
      </c>
      <c r="K6" s="43">
        <v>117.9</v>
      </c>
      <c r="L6" s="43">
        <v>117.9</v>
      </c>
    </row>
    <row r="7" spans="1:12" ht="15" customHeight="1" x14ac:dyDescent="0.3">
      <c r="A7" s="36">
        <v>767</v>
      </c>
      <c r="B7" s="37" t="s">
        <v>93</v>
      </c>
      <c r="C7" s="37" t="s">
        <v>94</v>
      </c>
      <c r="D7" s="38">
        <v>4.99</v>
      </c>
      <c r="E7" s="36">
        <v>6</v>
      </c>
      <c r="F7" s="37" t="s">
        <v>95</v>
      </c>
      <c r="G7" s="39">
        <v>13.99</v>
      </c>
      <c r="H7" s="36">
        <v>32</v>
      </c>
      <c r="I7" s="39">
        <v>172.68</v>
      </c>
      <c r="J7" s="38">
        <v>5.4</v>
      </c>
      <c r="K7" s="39">
        <v>228.73</v>
      </c>
      <c r="L7" s="39">
        <v>228.73</v>
      </c>
    </row>
    <row r="8" spans="1:12" ht="15" customHeight="1" x14ac:dyDescent="0.3">
      <c r="A8" s="40">
        <v>730</v>
      </c>
      <c r="B8" s="41" t="s">
        <v>96</v>
      </c>
      <c r="C8" s="41" t="s">
        <v>97</v>
      </c>
      <c r="D8" s="42">
        <v>0.99</v>
      </c>
      <c r="E8" s="40">
        <v>3</v>
      </c>
      <c r="F8" s="41" t="s">
        <v>92</v>
      </c>
      <c r="G8" s="43">
        <v>28.99</v>
      </c>
      <c r="H8" s="40">
        <v>32</v>
      </c>
      <c r="I8" s="43">
        <v>130.68</v>
      </c>
      <c r="J8" s="42">
        <v>4.08</v>
      </c>
      <c r="K8" s="43">
        <v>110.38</v>
      </c>
      <c r="L8" s="43">
        <v>110.38</v>
      </c>
    </row>
    <row r="9" spans="1:12" ht="15" customHeight="1" x14ac:dyDescent="0.3">
      <c r="A9" s="36">
        <v>331</v>
      </c>
      <c r="B9" s="37" t="s">
        <v>98</v>
      </c>
      <c r="C9" s="37" t="s">
        <v>99</v>
      </c>
      <c r="D9" s="38">
        <v>2.99</v>
      </c>
      <c r="E9" s="36">
        <v>6</v>
      </c>
      <c r="F9" s="37" t="s">
        <v>95</v>
      </c>
      <c r="G9" s="39">
        <v>25.99</v>
      </c>
      <c r="H9" s="36">
        <v>32</v>
      </c>
      <c r="I9" s="39">
        <v>128.68</v>
      </c>
      <c r="J9" s="38">
        <v>4.0199999999999996</v>
      </c>
      <c r="K9" s="39">
        <v>123.12</v>
      </c>
      <c r="L9" s="39">
        <v>123.12</v>
      </c>
    </row>
    <row r="10" spans="1:12" ht="15" customHeight="1" x14ac:dyDescent="0.3">
      <c r="A10" s="40">
        <v>382</v>
      </c>
      <c r="B10" s="41" t="s">
        <v>100</v>
      </c>
      <c r="C10" s="41" t="s">
        <v>99</v>
      </c>
      <c r="D10" s="42">
        <v>0.99</v>
      </c>
      <c r="E10" s="40">
        <v>3</v>
      </c>
      <c r="F10" s="41" t="s">
        <v>89</v>
      </c>
      <c r="G10" s="43">
        <v>21.99</v>
      </c>
      <c r="H10" s="40">
        <v>32</v>
      </c>
      <c r="I10" s="43">
        <v>110.68</v>
      </c>
      <c r="J10" s="42">
        <v>3.46</v>
      </c>
      <c r="K10" s="43">
        <v>145.52000000000001</v>
      </c>
      <c r="L10" s="43">
        <v>145.52000000000001</v>
      </c>
    </row>
    <row r="11" spans="1:12" ht="15" customHeight="1" x14ac:dyDescent="0.3">
      <c r="A11" s="36">
        <v>489</v>
      </c>
      <c r="B11" s="37" t="s">
        <v>101</v>
      </c>
      <c r="C11" s="37" t="s">
        <v>102</v>
      </c>
      <c r="D11" s="38">
        <v>0.99</v>
      </c>
      <c r="E11" s="36">
        <v>4</v>
      </c>
      <c r="F11" s="37" t="s">
        <v>92</v>
      </c>
      <c r="G11" s="39">
        <v>14.99</v>
      </c>
      <c r="H11" s="36">
        <v>32</v>
      </c>
      <c r="I11" s="39">
        <v>96.68</v>
      </c>
      <c r="J11" s="38">
        <v>3.02</v>
      </c>
      <c r="K11" s="39">
        <v>213.48</v>
      </c>
      <c r="L11" s="39">
        <v>213.48</v>
      </c>
    </row>
    <row r="12" spans="1:12" ht="15" customHeight="1" x14ac:dyDescent="0.3">
      <c r="A12" s="40">
        <v>973</v>
      </c>
      <c r="B12" s="41" t="s">
        <v>103</v>
      </c>
      <c r="C12" s="41" t="s">
        <v>104</v>
      </c>
      <c r="D12" s="42">
        <v>4.99</v>
      </c>
      <c r="E12" s="40">
        <v>3</v>
      </c>
      <c r="F12" s="41" t="s">
        <v>95</v>
      </c>
      <c r="G12" s="43">
        <v>27.99</v>
      </c>
      <c r="H12" s="40">
        <v>31</v>
      </c>
      <c r="I12" s="43">
        <v>223.69</v>
      </c>
      <c r="J12" s="42">
        <v>7.22</v>
      </c>
      <c r="K12" s="43">
        <v>110.75</v>
      </c>
      <c r="L12" s="43">
        <v>110.75</v>
      </c>
    </row>
    <row r="13" spans="1:12" ht="15" customHeight="1" x14ac:dyDescent="0.3">
      <c r="A13" s="36">
        <v>1000</v>
      </c>
      <c r="B13" s="37" t="s">
        <v>105</v>
      </c>
      <c r="C13" s="37" t="s">
        <v>106</v>
      </c>
      <c r="D13" s="38">
        <v>4.99</v>
      </c>
      <c r="E13" s="36">
        <v>3</v>
      </c>
      <c r="F13" s="37" t="s">
        <v>95</v>
      </c>
      <c r="G13" s="39">
        <v>18.989999999999998</v>
      </c>
      <c r="H13" s="36">
        <v>31</v>
      </c>
      <c r="I13" s="39">
        <v>214.69</v>
      </c>
      <c r="J13" s="38">
        <v>6.93</v>
      </c>
      <c r="K13" s="39">
        <v>163.24</v>
      </c>
      <c r="L13" s="39">
        <v>163.24</v>
      </c>
    </row>
    <row r="14" spans="1:12" ht="15" customHeight="1" x14ac:dyDescent="0.3">
      <c r="A14" s="40">
        <v>369</v>
      </c>
      <c r="B14" s="41" t="s">
        <v>107</v>
      </c>
      <c r="C14" s="41" t="s">
        <v>108</v>
      </c>
      <c r="D14" s="42">
        <v>4.99</v>
      </c>
      <c r="E14" s="40">
        <v>4</v>
      </c>
      <c r="F14" s="41" t="s">
        <v>89</v>
      </c>
      <c r="G14" s="43">
        <v>22.99</v>
      </c>
      <c r="H14" s="40">
        <v>31</v>
      </c>
      <c r="I14" s="43">
        <v>209.69</v>
      </c>
      <c r="J14" s="42">
        <v>6.76</v>
      </c>
      <c r="K14" s="43">
        <v>134.84</v>
      </c>
      <c r="L14" s="43">
        <v>134.84</v>
      </c>
    </row>
    <row r="15" spans="1:12" ht="15" customHeight="1" x14ac:dyDescent="0.3">
      <c r="A15" s="36">
        <v>31</v>
      </c>
      <c r="B15" s="37" t="s">
        <v>109</v>
      </c>
      <c r="C15" s="37" t="s">
        <v>110</v>
      </c>
      <c r="D15" s="38">
        <v>4.99</v>
      </c>
      <c r="E15" s="36">
        <v>5</v>
      </c>
      <c r="F15" s="37" t="s">
        <v>95</v>
      </c>
      <c r="G15" s="39">
        <v>16.989999999999998</v>
      </c>
      <c r="H15" s="36">
        <v>31</v>
      </c>
      <c r="I15" s="39">
        <v>178.69</v>
      </c>
      <c r="J15" s="38">
        <v>5.76</v>
      </c>
      <c r="K15" s="39">
        <v>182.46</v>
      </c>
      <c r="L15" s="39">
        <v>182.46</v>
      </c>
    </row>
    <row r="16" spans="1:12" ht="15" customHeight="1" x14ac:dyDescent="0.3">
      <c r="A16" s="40">
        <v>621</v>
      </c>
      <c r="B16" s="41" t="s">
        <v>111</v>
      </c>
      <c r="C16" s="41" t="s">
        <v>110</v>
      </c>
      <c r="D16" s="42">
        <v>2.99</v>
      </c>
      <c r="E16" s="40">
        <v>5</v>
      </c>
      <c r="F16" s="41" t="s">
        <v>92</v>
      </c>
      <c r="G16" s="43">
        <v>23.99</v>
      </c>
      <c r="H16" s="40">
        <v>31</v>
      </c>
      <c r="I16" s="43">
        <v>133.69</v>
      </c>
      <c r="J16" s="42">
        <v>4.3099999999999996</v>
      </c>
      <c r="K16" s="43">
        <v>129.22</v>
      </c>
      <c r="L16" s="43">
        <v>129.22</v>
      </c>
    </row>
    <row r="17" spans="1:12" ht="15" customHeight="1" x14ac:dyDescent="0.3">
      <c r="A17" s="36">
        <v>891</v>
      </c>
      <c r="B17" s="37" t="s">
        <v>112</v>
      </c>
      <c r="C17" s="37" t="s">
        <v>113</v>
      </c>
      <c r="D17" s="38">
        <v>0.99</v>
      </c>
      <c r="E17" s="36">
        <v>3</v>
      </c>
      <c r="F17" s="37" t="s">
        <v>114</v>
      </c>
      <c r="G17" s="39">
        <v>13.99</v>
      </c>
      <c r="H17" s="36">
        <v>31</v>
      </c>
      <c r="I17" s="39">
        <v>123.69</v>
      </c>
      <c r="J17" s="38">
        <v>3.99</v>
      </c>
      <c r="K17" s="39">
        <v>221.59</v>
      </c>
      <c r="L17" s="39">
        <v>221.59</v>
      </c>
    </row>
    <row r="18" spans="1:12" ht="15" customHeight="1" x14ac:dyDescent="0.3">
      <c r="A18" s="40">
        <v>735</v>
      </c>
      <c r="B18" s="41" t="s">
        <v>115</v>
      </c>
      <c r="C18" s="41" t="s">
        <v>116</v>
      </c>
      <c r="D18" s="42">
        <v>2.99</v>
      </c>
      <c r="E18" s="40">
        <v>7</v>
      </c>
      <c r="F18" s="41" t="s">
        <v>92</v>
      </c>
      <c r="G18" s="43">
        <v>26.99</v>
      </c>
      <c r="H18" s="40">
        <v>31</v>
      </c>
      <c r="I18" s="43">
        <v>105.69</v>
      </c>
      <c r="J18" s="42">
        <v>3.41</v>
      </c>
      <c r="K18" s="43">
        <v>114.86</v>
      </c>
      <c r="L18" s="43">
        <v>114.86</v>
      </c>
    </row>
    <row r="19" spans="1:12" ht="15" customHeight="1" x14ac:dyDescent="0.3">
      <c r="A19" s="36">
        <v>753</v>
      </c>
      <c r="B19" s="37" t="s">
        <v>117</v>
      </c>
      <c r="C19" s="37" t="s">
        <v>110</v>
      </c>
      <c r="D19" s="38">
        <v>0.99</v>
      </c>
      <c r="E19" s="36">
        <v>3</v>
      </c>
      <c r="F19" s="37" t="s">
        <v>89</v>
      </c>
      <c r="G19" s="39">
        <v>20.99</v>
      </c>
      <c r="H19" s="36">
        <v>31</v>
      </c>
      <c r="I19" s="39">
        <v>88.69</v>
      </c>
      <c r="J19" s="38">
        <v>2.86</v>
      </c>
      <c r="K19" s="39">
        <v>147.69</v>
      </c>
      <c r="L19" s="39">
        <v>147.69</v>
      </c>
    </row>
    <row r="20" spans="1:12" ht="15" customHeight="1" x14ac:dyDescent="0.3">
      <c r="A20" s="40">
        <v>418</v>
      </c>
      <c r="B20" s="41" t="s">
        <v>118</v>
      </c>
      <c r="C20" s="41" t="s">
        <v>119</v>
      </c>
      <c r="D20" s="42">
        <v>0.99</v>
      </c>
      <c r="E20" s="40">
        <v>5</v>
      </c>
      <c r="F20" s="41" t="s">
        <v>92</v>
      </c>
      <c r="G20" s="43">
        <v>27.99</v>
      </c>
      <c r="H20" s="40">
        <v>31</v>
      </c>
      <c r="I20" s="43">
        <v>81.69</v>
      </c>
      <c r="J20" s="42">
        <v>2.64</v>
      </c>
      <c r="K20" s="43">
        <v>110.75</v>
      </c>
      <c r="L20" s="43">
        <v>110.75</v>
      </c>
    </row>
    <row r="21" spans="1:12" ht="15" customHeight="1" x14ac:dyDescent="0.3">
      <c r="A21" s="36">
        <v>403</v>
      </c>
      <c r="B21" s="37" t="s">
        <v>120</v>
      </c>
      <c r="C21" s="37" t="s">
        <v>119</v>
      </c>
      <c r="D21" s="38">
        <v>4.99</v>
      </c>
      <c r="E21" s="36">
        <v>5</v>
      </c>
      <c r="F21" s="37" t="s">
        <v>92</v>
      </c>
      <c r="G21" s="39">
        <v>18.989999999999998</v>
      </c>
      <c r="H21" s="36">
        <v>30</v>
      </c>
      <c r="I21" s="39">
        <v>195.7</v>
      </c>
      <c r="J21" s="38">
        <v>6.52</v>
      </c>
      <c r="K21" s="39">
        <v>157.97999999999999</v>
      </c>
      <c r="L21" s="39">
        <v>157.97999999999999</v>
      </c>
    </row>
    <row r="22" spans="1:12" ht="15" customHeight="1" x14ac:dyDescent="0.3">
      <c r="A22" s="40">
        <v>127</v>
      </c>
      <c r="B22" s="41" t="s">
        <v>121</v>
      </c>
      <c r="C22" s="41" t="s">
        <v>106</v>
      </c>
      <c r="D22" s="42">
        <v>4.99</v>
      </c>
      <c r="E22" s="40">
        <v>5</v>
      </c>
      <c r="F22" s="41" t="s">
        <v>114</v>
      </c>
      <c r="G22" s="43">
        <v>14.99</v>
      </c>
      <c r="H22" s="40">
        <v>30</v>
      </c>
      <c r="I22" s="43">
        <v>181.7</v>
      </c>
      <c r="J22" s="42">
        <v>6.06</v>
      </c>
      <c r="K22" s="43">
        <v>200.13</v>
      </c>
      <c r="L22" s="43">
        <v>200.13</v>
      </c>
    </row>
    <row r="23" spans="1:12" ht="15" customHeight="1" x14ac:dyDescent="0.3">
      <c r="A23" s="36">
        <v>563</v>
      </c>
      <c r="B23" s="37" t="s">
        <v>122</v>
      </c>
      <c r="C23" s="37" t="s">
        <v>99</v>
      </c>
      <c r="D23" s="38">
        <v>4.99</v>
      </c>
      <c r="E23" s="36">
        <v>6</v>
      </c>
      <c r="F23" s="37" t="s">
        <v>123</v>
      </c>
      <c r="G23" s="39">
        <v>16.989999999999998</v>
      </c>
      <c r="H23" s="36">
        <v>30</v>
      </c>
      <c r="I23" s="39">
        <v>179.7</v>
      </c>
      <c r="J23" s="38">
        <v>5.99</v>
      </c>
      <c r="K23" s="39">
        <v>176.57</v>
      </c>
      <c r="L23" s="39">
        <v>176.57</v>
      </c>
    </row>
    <row r="24" spans="1:12" ht="15" customHeight="1" x14ac:dyDescent="0.3">
      <c r="A24" s="40">
        <v>239</v>
      </c>
      <c r="B24" s="41" t="s">
        <v>124</v>
      </c>
      <c r="C24" s="41" t="s">
        <v>102</v>
      </c>
      <c r="D24" s="42">
        <v>4.99</v>
      </c>
      <c r="E24" s="40">
        <v>5</v>
      </c>
      <c r="F24" s="41" t="s">
        <v>114</v>
      </c>
      <c r="G24" s="43">
        <v>16.989999999999998</v>
      </c>
      <c r="H24" s="40">
        <v>30</v>
      </c>
      <c r="I24" s="43">
        <v>178.7</v>
      </c>
      <c r="J24" s="42">
        <v>5.96</v>
      </c>
      <c r="K24" s="43">
        <v>176.57</v>
      </c>
      <c r="L24" s="43">
        <v>176.57</v>
      </c>
    </row>
    <row r="26" spans="1:12" ht="15" customHeight="1" x14ac:dyDescent="0.3">
      <c r="A26" s="44" t="s">
        <v>57</v>
      </c>
      <c r="B26" s="44"/>
      <c r="C26" s="44"/>
    </row>
    <row r="27" spans="1:12" ht="15" customHeight="1" x14ac:dyDescent="0.3">
      <c r="A27" s="45" t="s">
        <v>58</v>
      </c>
      <c r="B27" s="45" t="s">
        <v>59</v>
      </c>
      <c r="C27" s="45" t="s">
        <v>125</v>
      </c>
    </row>
    <row r="28" spans="1:12" ht="15" customHeight="1" x14ac:dyDescent="0.3">
      <c r="A28" s="37" t="s">
        <v>126</v>
      </c>
      <c r="B28" s="37" t="s">
        <v>127</v>
      </c>
      <c r="C28" s="37" t="s">
        <v>128</v>
      </c>
    </row>
    <row r="29" spans="1:12" ht="15" customHeight="1" x14ac:dyDescent="0.3">
      <c r="A29" s="41" t="s">
        <v>129</v>
      </c>
      <c r="B29" s="41" t="s">
        <v>130</v>
      </c>
      <c r="C29" s="41" t="s">
        <v>131</v>
      </c>
    </row>
    <row r="31" spans="1:12" ht="18" customHeight="1" x14ac:dyDescent="0.3">
      <c r="A31" s="46" t="s">
        <v>68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</row>
    <row r="32" spans="1:12" ht="39.75" customHeight="1" x14ac:dyDescent="0.3">
      <c r="A32" s="35" t="s">
        <v>69</v>
      </c>
      <c r="B32" s="47" t="s">
        <v>132</v>
      </c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39.75" customHeight="1" x14ac:dyDescent="0.3">
      <c r="A33" s="35" t="s">
        <v>71</v>
      </c>
      <c r="B33" s="48" t="s">
        <v>133</v>
      </c>
      <c r="C33" s="48"/>
      <c r="D33" s="48"/>
      <c r="E33" s="48"/>
      <c r="F33" s="48"/>
      <c r="G33" s="48"/>
      <c r="H33" s="48"/>
      <c r="I33" s="48"/>
      <c r="J33" s="48"/>
      <c r="K33" s="48"/>
    </row>
    <row r="34" spans="1:11" ht="39.75" customHeight="1" x14ac:dyDescent="0.3">
      <c r="A34" s="35" t="s">
        <v>73</v>
      </c>
      <c r="B34" s="49" t="s">
        <v>134</v>
      </c>
      <c r="C34" s="49"/>
      <c r="D34" s="49"/>
      <c r="E34" s="49"/>
      <c r="F34" s="49"/>
      <c r="G34" s="49"/>
      <c r="H34" s="49"/>
      <c r="I34" s="49"/>
      <c r="J34" s="49"/>
      <c r="K34" s="49"/>
    </row>
    <row r="37" spans="1:11" ht="17.399999999999999" x14ac:dyDescent="0.3">
      <c r="A37" s="50" t="s">
        <v>452</v>
      </c>
      <c r="B37" s="50"/>
    </row>
  </sheetData>
  <mergeCells count="8">
    <mergeCell ref="B34:K34"/>
    <mergeCell ref="A37:B37"/>
    <mergeCell ref="A1:K1"/>
    <mergeCell ref="A3:K3"/>
    <mergeCell ref="A26:C26"/>
    <mergeCell ref="A31:K31"/>
    <mergeCell ref="B32:K32"/>
    <mergeCell ref="B33:K33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I18"/>
  <sheetViews>
    <sheetView zoomScaleNormal="100" workbookViewId="0">
      <pane ySplit="1" topLeftCell="A20" activePane="bottomLeft" state="frozen"/>
      <selection pane="bottomLeft" activeCell="D8" sqref="D8"/>
    </sheetView>
  </sheetViews>
  <sheetFormatPr defaultColWidth="8.6640625" defaultRowHeight="14.4" x14ac:dyDescent="0.3"/>
  <cols>
    <col min="1" max="1" width="21.5546875" customWidth="1"/>
    <col min="2" max="2" width="60.44140625" customWidth="1"/>
    <col min="3" max="3" width="33.88671875" customWidth="1"/>
    <col min="4" max="4" width="25" customWidth="1"/>
    <col min="5" max="5" width="23.44140625" bestFit="1" customWidth="1"/>
    <col min="6" max="6" width="23" customWidth="1"/>
    <col min="7" max="7" width="20" customWidth="1"/>
    <col min="8" max="8" width="23" customWidth="1"/>
    <col min="9" max="9" width="21" customWidth="1"/>
  </cols>
  <sheetData>
    <row r="1" spans="1:9" ht="36" customHeight="1" x14ac:dyDescent="0.3">
      <c r="A1" s="20" t="s">
        <v>13</v>
      </c>
      <c r="B1" s="20"/>
      <c r="C1" s="20"/>
      <c r="D1" s="20"/>
      <c r="E1" s="20"/>
      <c r="F1" s="20"/>
      <c r="G1" s="20"/>
      <c r="H1" s="20"/>
      <c r="I1" s="20"/>
    </row>
    <row r="3" spans="1:9" ht="15" customHeight="1" x14ac:dyDescent="0.3">
      <c r="A3" s="21" t="s">
        <v>135</v>
      </c>
      <c r="B3" s="21"/>
      <c r="C3" s="21"/>
      <c r="D3" s="21"/>
      <c r="E3" s="21"/>
      <c r="F3" s="21"/>
      <c r="G3" s="21"/>
      <c r="H3" s="21"/>
      <c r="I3" s="21"/>
    </row>
    <row r="4" spans="1:9" ht="15" customHeight="1" x14ac:dyDescent="0.3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</row>
    <row r="5" spans="1:9" ht="15" customHeight="1" x14ac:dyDescent="0.3">
      <c r="A5" s="3" t="s">
        <v>145</v>
      </c>
      <c r="B5" s="4">
        <v>1</v>
      </c>
      <c r="C5" s="4">
        <v>8040</v>
      </c>
      <c r="D5" s="4">
        <v>599</v>
      </c>
      <c r="E5" s="5">
        <v>33524.620000000003</v>
      </c>
      <c r="F5" s="6">
        <v>4.17</v>
      </c>
      <c r="G5" s="4">
        <v>8040</v>
      </c>
      <c r="H5" s="4">
        <v>599</v>
      </c>
      <c r="I5" s="5">
        <v>100</v>
      </c>
    </row>
    <row r="6" spans="1:9" ht="15" customHeight="1" x14ac:dyDescent="0.3">
      <c r="A6" s="2" t="s">
        <v>146</v>
      </c>
      <c r="B6" s="13">
        <v>2</v>
      </c>
      <c r="C6" s="13">
        <v>8004</v>
      </c>
      <c r="D6" s="13">
        <v>599</v>
      </c>
      <c r="E6" s="15">
        <v>33881.94</v>
      </c>
      <c r="F6" s="14">
        <v>4.2300000000000004</v>
      </c>
      <c r="G6" s="13">
        <v>8004</v>
      </c>
      <c r="H6" s="13">
        <v>599</v>
      </c>
      <c r="I6" s="15">
        <v>100</v>
      </c>
    </row>
    <row r="8" spans="1:9" ht="15" customHeight="1" x14ac:dyDescent="0.3">
      <c r="A8" s="22" t="s">
        <v>57</v>
      </c>
      <c r="B8" s="22"/>
      <c r="C8" s="22"/>
    </row>
    <row r="9" spans="1:9" ht="15" customHeight="1" x14ac:dyDescent="0.3">
      <c r="A9" s="7" t="s">
        <v>58</v>
      </c>
      <c r="B9" s="7" t="s">
        <v>59</v>
      </c>
      <c r="C9" s="7" t="s">
        <v>125</v>
      </c>
    </row>
    <row r="10" spans="1:9" ht="15" customHeight="1" x14ac:dyDescent="0.3">
      <c r="A10" s="3" t="s">
        <v>147</v>
      </c>
      <c r="B10" s="3" t="s">
        <v>148</v>
      </c>
      <c r="C10" s="3" t="s">
        <v>149</v>
      </c>
    </row>
    <row r="11" spans="1:9" ht="15" customHeight="1" x14ac:dyDescent="0.3">
      <c r="A11" s="2" t="s">
        <v>150</v>
      </c>
      <c r="B11" s="2" t="s">
        <v>151</v>
      </c>
      <c r="C11" s="2" t="s">
        <v>152</v>
      </c>
    </row>
    <row r="13" spans="1:9" ht="18" customHeight="1" x14ac:dyDescent="0.3">
      <c r="A13" s="23" t="s">
        <v>68</v>
      </c>
      <c r="B13" s="23"/>
      <c r="C13" s="23"/>
      <c r="D13" s="23"/>
      <c r="E13" s="23"/>
      <c r="F13" s="23"/>
      <c r="G13" s="23"/>
      <c r="H13" s="23"/>
      <c r="I13" s="23"/>
    </row>
    <row r="14" spans="1:9" ht="39.75" customHeight="1" x14ac:dyDescent="0.3">
      <c r="A14" s="1" t="s">
        <v>69</v>
      </c>
      <c r="B14" s="24" t="s">
        <v>153</v>
      </c>
      <c r="C14" s="24"/>
      <c r="D14" s="24"/>
      <c r="E14" s="24"/>
      <c r="F14" s="24"/>
      <c r="G14" s="24"/>
      <c r="H14" s="24"/>
      <c r="I14" s="24"/>
    </row>
    <row r="15" spans="1:9" ht="39.75" customHeight="1" x14ac:dyDescent="0.3">
      <c r="A15" s="1" t="s">
        <v>71</v>
      </c>
      <c r="B15" s="18" t="s">
        <v>154</v>
      </c>
      <c r="C15" s="18"/>
      <c r="D15" s="18"/>
      <c r="E15" s="18"/>
      <c r="F15" s="18"/>
      <c r="G15" s="18"/>
      <c r="H15" s="18"/>
      <c r="I15" s="18"/>
    </row>
    <row r="16" spans="1:9" ht="39.75" customHeight="1" x14ac:dyDescent="0.3">
      <c r="A16" s="1" t="s">
        <v>73</v>
      </c>
      <c r="B16" s="19" t="s">
        <v>155</v>
      </c>
      <c r="C16" s="19"/>
      <c r="D16" s="19"/>
      <c r="E16" s="19"/>
      <c r="F16" s="19"/>
      <c r="G16" s="19"/>
      <c r="H16" s="19"/>
      <c r="I16" s="19"/>
    </row>
    <row r="18" spans="1:2" ht="17.399999999999999" x14ac:dyDescent="0.3">
      <c r="A18" s="17" t="s">
        <v>452</v>
      </c>
      <c r="B18" s="17"/>
    </row>
  </sheetData>
  <mergeCells count="8">
    <mergeCell ref="A18:B18"/>
    <mergeCell ref="B15:I15"/>
    <mergeCell ref="B16:I16"/>
    <mergeCell ref="A1:I1"/>
    <mergeCell ref="A3:I3"/>
    <mergeCell ref="A8:C8"/>
    <mergeCell ref="A13:I13"/>
    <mergeCell ref="B14:I14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19"/>
  <sheetViews>
    <sheetView zoomScaleNormal="100" workbookViewId="0">
      <pane ySplit="1" topLeftCell="A2" activePane="bottomLeft" state="frozen"/>
      <selection pane="bottomLeft" activeCell="E22" sqref="E22"/>
    </sheetView>
  </sheetViews>
  <sheetFormatPr defaultColWidth="8.6640625" defaultRowHeight="14.4" x14ac:dyDescent="0.3"/>
  <cols>
    <col min="1" max="1" width="23.44140625" customWidth="1"/>
    <col min="2" max="2" width="42.21875" customWidth="1"/>
    <col min="3" max="3" width="31.77734375" customWidth="1"/>
    <col min="4" max="4" width="18" customWidth="1"/>
    <col min="5" max="5" width="10" customWidth="1"/>
  </cols>
  <sheetData>
    <row r="1" spans="1:6" ht="36" customHeight="1" x14ac:dyDescent="0.3">
      <c r="A1" s="20" t="s">
        <v>16</v>
      </c>
      <c r="B1" s="20"/>
      <c r="C1" s="20"/>
      <c r="D1" s="20"/>
      <c r="E1" s="20"/>
      <c r="F1" s="20"/>
    </row>
    <row r="3" spans="1:6" ht="15" customHeight="1" x14ac:dyDescent="0.3">
      <c r="A3" s="21" t="s">
        <v>156</v>
      </c>
      <c r="B3" s="21"/>
      <c r="C3" s="21"/>
      <c r="D3" s="21"/>
    </row>
    <row r="4" spans="1:6" ht="15" customHeight="1" x14ac:dyDescent="0.3">
      <c r="A4" s="1" t="s">
        <v>157</v>
      </c>
      <c r="B4" s="1" t="s">
        <v>83</v>
      </c>
      <c r="C4" s="1" t="s">
        <v>84</v>
      </c>
      <c r="D4" s="1" t="s">
        <v>158</v>
      </c>
    </row>
    <row r="5" spans="1:6" ht="15" customHeight="1" x14ac:dyDescent="0.3">
      <c r="A5" s="3" t="s">
        <v>159</v>
      </c>
      <c r="B5" s="4">
        <v>14706</v>
      </c>
      <c r="C5" s="5">
        <v>62068.94</v>
      </c>
      <c r="D5" s="4">
        <v>1788</v>
      </c>
    </row>
    <row r="6" spans="1:6" ht="15" customHeight="1" x14ac:dyDescent="0.3">
      <c r="A6" s="2" t="s">
        <v>160</v>
      </c>
      <c r="B6" s="13">
        <v>1156</v>
      </c>
      <c r="C6" s="15">
        <v>4823.4399999999996</v>
      </c>
      <c r="D6" s="13">
        <v>520</v>
      </c>
    </row>
    <row r="7" spans="1:6" ht="15" customHeight="1" x14ac:dyDescent="0.3">
      <c r="A7" s="3" t="s">
        <v>161</v>
      </c>
      <c r="B7" s="4">
        <v>182</v>
      </c>
      <c r="C7" s="5">
        <v>514.17999999999995</v>
      </c>
      <c r="D7" s="4">
        <v>158</v>
      </c>
    </row>
    <row r="9" spans="1:6" ht="15" customHeight="1" x14ac:dyDescent="0.3">
      <c r="A9" s="22" t="s">
        <v>57</v>
      </c>
      <c r="B9" s="22"/>
      <c r="C9" s="22"/>
    </row>
    <row r="10" spans="1:6" ht="15" customHeight="1" x14ac:dyDescent="0.3">
      <c r="A10" s="7" t="s">
        <v>58</v>
      </c>
      <c r="B10" s="7" t="s">
        <v>59</v>
      </c>
      <c r="C10" s="7" t="s">
        <v>125</v>
      </c>
    </row>
    <row r="11" spans="1:6" ht="15" customHeight="1" x14ac:dyDescent="0.3">
      <c r="A11" s="3" t="s">
        <v>162</v>
      </c>
      <c r="B11" s="3" t="s">
        <v>163</v>
      </c>
      <c r="C11" s="3" t="s">
        <v>164</v>
      </c>
    </row>
    <row r="12" spans="1:6" ht="15" customHeight="1" x14ac:dyDescent="0.3">
      <c r="A12" s="2" t="s">
        <v>165</v>
      </c>
      <c r="B12" s="2" t="s">
        <v>166</v>
      </c>
      <c r="C12" s="2" t="s">
        <v>167</v>
      </c>
    </row>
    <row r="14" spans="1:6" ht="18" customHeight="1" x14ac:dyDescent="0.3">
      <c r="A14" s="23" t="s">
        <v>68</v>
      </c>
      <c r="B14" s="23"/>
      <c r="C14" s="23"/>
      <c r="D14" s="23"/>
      <c r="E14" s="23"/>
      <c r="F14" s="23"/>
    </row>
    <row r="15" spans="1:6" ht="39.75" customHeight="1" x14ac:dyDescent="0.3">
      <c r="A15" s="1" t="s">
        <v>69</v>
      </c>
      <c r="B15" s="24" t="s">
        <v>168</v>
      </c>
      <c r="C15" s="24"/>
      <c r="D15" s="24"/>
      <c r="E15" s="24"/>
      <c r="F15" s="24"/>
    </row>
    <row r="16" spans="1:6" ht="39.75" customHeight="1" x14ac:dyDescent="0.3">
      <c r="A16" s="1" t="s">
        <v>71</v>
      </c>
      <c r="B16" s="18" t="s">
        <v>169</v>
      </c>
      <c r="C16" s="18"/>
      <c r="D16" s="18"/>
      <c r="E16" s="18"/>
      <c r="F16" s="18"/>
    </row>
    <row r="17" spans="1:6" ht="39.75" customHeight="1" x14ac:dyDescent="0.3">
      <c r="A17" s="1" t="s">
        <v>73</v>
      </c>
      <c r="B17" s="19" t="s">
        <v>170</v>
      </c>
      <c r="C17" s="19"/>
      <c r="D17" s="19"/>
      <c r="E17" s="19"/>
      <c r="F17" s="19"/>
    </row>
    <row r="19" spans="1:6" ht="17.399999999999999" x14ac:dyDescent="0.3">
      <c r="A19" s="17" t="s">
        <v>452</v>
      </c>
      <c r="B19" s="17"/>
    </row>
  </sheetData>
  <mergeCells count="8">
    <mergeCell ref="A19:B19"/>
    <mergeCell ref="B16:F16"/>
    <mergeCell ref="B17:F17"/>
    <mergeCell ref="A1:F1"/>
    <mergeCell ref="A3:D3"/>
    <mergeCell ref="A9:C9"/>
    <mergeCell ref="A14:F14"/>
    <mergeCell ref="B15:F1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285B-B805-43A0-8525-6B8C80EECF81}">
  <sheetPr>
    <tabColor theme="3" tint="-0.499984740745262"/>
  </sheetPr>
  <dimension ref="A1:F19"/>
  <sheetViews>
    <sheetView zoomScaleNormal="100" workbookViewId="0">
      <pane ySplit="1" topLeftCell="A2" activePane="bottomLeft" state="frozen"/>
      <selection pane="bottomLeft" activeCell="F31" sqref="F31"/>
    </sheetView>
  </sheetViews>
  <sheetFormatPr defaultColWidth="8.6640625" defaultRowHeight="14.4" x14ac:dyDescent="0.3"/>
  <cols>
    <col min="1" max="1" width="19.77734375" style="33" customWidth="1"/>
    <col min="2" max="2" width="38.21875" style="33" customWidth="1"/>
    <col min="3" max="3" width="25.109375" style="33" customWidth="1"/>
    <col min="4" max="4" width="18" style="33" customWidth="1"/>
    <col min="5" max="5" width="13" style="33" customWidth="1"/>
    <col min="6" max="6" width="15" style="33" customWidth="1"/>
    <col min="7" max="16384" width="8.6640625" style="33"/>
  </cols>
  <sheetData>
    <row r="1" spans="1:6" ht="36" customHeight="1" x14ac:dyDescent="0.3">
      <c r="A1" s="32" t="s">
        <v>19</v>
      </c>
      <c r="B1" s="32"/>
      <c r="C1" s="32"/>
      <c r="D1" s="32"/>
      <c r="E1" s="32"/>
      <c r="F1" s="32"/>
    </row>
    <row r="3" spans="1:6" ht="15" customHeight="1" x14ac:dyDescent="0.3">
      <c r="A3" s="34" t="s">
        <v>135</v>
      </c>
      <c r="B3" s="34"/>
      <c r="C3" s="34"/>
      <c r="D3" s="34"/>
      <c r="E3" s="34"/>
      <c r="F3" s="34"/>
    </row>
    <row r="4" spans="1:6" ht="15" customHeight="1" x14ac:dyDescent="0.3">
      <c r="A4" s="35" t="s">
        <v>171</v>
      </c>
      <c r="B4" s="35" t="s">
        <v>172</v>
      </c>
      <c r="C4" s="35" t="s">
        <v>83</v>
      </c>
      <c r="D4" s="35" t="s">
        <v>173</v>
      </c>
      <c r="E4" s="35" t="s">
        <v>85</v>
      </c>
      <c r="F4" s="35" t="s">
        <v>84</v>
      </c>
    </row>
    <row r="5" spans="1:6" ht="15" customHeight="1" x14ac:dyDescent="0.3">
      <c r="A5" s="37" t="s">
        <v>174</v>
      </c>
      <c r="B5" s="37" t="s">
        <v>175</v>
      </c>
      <c r="C5" s="36">
        <v>15031</v>
      </c>
      <c r="D5" s="36">
        <v>543</v>
      </c>
      <c r="E5" s="38">
        <v>4.2</v>
      </c>
      <c r="F5" s="39">
        <v>63147.69</v>
      </c>
    </row>
    <row r="6" spans="1:6" ht="15" customHeight="1" x14ac:dyDescent="0.3">
      <c r="A6" s="41" t="s">
        <v>174</v>
      </c>
      <c r="B6" s="41" t="s">
        <v>176</v>
      </c>
      <c r="C6" s="40">
        <v>1013</v>
      </c>
      <c r="D6" s="40">
        <v>56</v>
      </c>
      <c r="E6" s="42">
        <v>4.2</v>
      </c>
      <c r="F6" s="43">
        <v>4258.87</v>
      </c>
    </row>
    <row r="8" spans="1:6" ht="15" customHeight="1" x14ac:dyDescent="0.3">
      <c r="A8" s="44" t="s">
        <v>57</v>
      </c>
      <c r="B8" s="44"/>
      <c r="C8" s="44"/>
    </row>
    <row r="9" spans="1:6" ht="15" customHeight="1" x14ac:dyDescent="0.3">
      <c r="A9" s="45" t="s">
        <v>58</v>
      </c>
      <c r="B9" s="45" t="s">
        <v>59</v>
      </c>
      <c r="C9" s="45" t="s">
        <v>125</v>
      </c>
    </row>
    <row r="10" spans="1:6" ht="15" customHeight="1" x14ac:dyDescent="0.3">
      <c r="A10" s="37" t="s">
        <v>177</v>
      </c>
      <c r="B10" s="37" t="s">
        <v>178</v>
      </c>
      <c r="C10" s="37" t="s">
        <v>179</v>
      </c>
    </row>
    <row r="11" spans="1:6" ht="15" customHeight="1" x14ac:dyDescent="0.3">
      <c r="A11" s="41" t="s">
        <v>65</v>
      </c>
      <c r="B11" s="41" t="s">
        <v>180</v>
      </c>
      <c r="C11" s="41" t="s">
        <v>181</v>
      </c>
    </row>
    <row r="13" spans="1:6" ht="18" customHeight="1" x14ac:dyDescent="0.3">
      <c r="A13" s="46" t="s">
        <v>68</v>
      </c>
      <c r="B13" s="46"/>
      <c r="C13" s="46"/>
      <c r="D13" s="46"/>
      <c r="E13" s="46"/>
      <c r="F13" s="46"/>
    </row>
    <row r="14" spans="1:6" ht="39.75" customHeight="1" x14ac:dyDescent="0.3">
      <c r="A14" s="35" t="s">
        <v>69</v>
      </c>
      <c r="B14" s="47" t="s">
        <v>182</v>
      </c>
      <c r="C14" s="47"/>
      <c r="D14" s="47"/>
      <c r="E14" s="47"/>
      <c r="F14" s="47"/>
    </row>
    <row r="15" spans="1:6" ht="39.75" customHeight="1" x14ac:dyDescent="0.3">
      <c r="A15" s="35" t="s">
        <v>71</v>
      </c>
      <c r="B15" s="48" t="s">
        <v>183</v>
      </c>
      <c r="C15" s="48"/>
      <c r="D15" s="48"/>
      <c r="E15" s="48"/>
      <c r="F15" s="48"/>
    </row>
    <row r="16" spans="1:6" ht="39.75" customHeight="1" x14ac:dyDescent="0.3">
      <c r="A16" s="35" t="s">
        <v>73</v>
      </c>
      <c r="B16" s="49" t="s">
        <v>184</v>
      </c>
      <c r="C16" s="49"/>
      <c r="D16" s="49"/>
      <c r="E16" s="49"/>
      <c r="F16" s="49"/>
    </row>
    <row r="19" spans="1:2" ht="17.399999999999999" x14ac:dyDescent="0.3">
      <c r="A19" s="50" t="s">
        <v>452</v>
      </c>
      <c r="B19" s="50"/>
    </row>
  </sheetData>
  <mergeCells count="8">
    <mergeCell ref="B16:F16"/>
    <mergeCell ref="A19:B19"/>
    <mergeCell ref="A1:F1"/>
    <mergeCell ref="A3:F3"/>
    <mergeCell ref="A8:C8"/>
    <mergeCell ref="A13:F13"/>
    <mergeCell ref="B14:F14"/>
    <mergeCell ref="B15:F1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4.9989318521683403E-2"/>
  </sheetPr>
  <dimension ref="A1:G20"/>
  <sheetViews>
    <sheetView zoomScaleNormal="100" workbookViewId="0">
      <pane ySplit="1" topLeftCell="A2" activePane="bottomLeft" state="frozen"/>
      <selection pane="bottomLeft" activeCell="A20" sqref="A20:B20"/>
    </sheetView>
  </sheetViews>
  <sheetFormatPr defaultColWidth="8.6640625" defaultRowHeight="14.4" x14ac:dyDescent="0.3"/>
  <cols>
    <col min="1" max="1" width="35" customWidth="1"/>
    <col min="2" max="2" width="49.109375" customWidth="1"/>
    <col min="3" max="3" width="28" customWidth="1"/>
    <col min="4" max="4" width="26" customWidth="1"/>
    <col min="5" max="5" width="23" customWidth="1"/>
    <col min="6" max="6" width="19" customWidth="1"/>
  </cols>
  <sheetData>
    <row r="1" spans="1:7" ht="36" customHeight="1" x14ac:dyDescent="0.3">
      <c r="A1" s="20" t="s">
        <v>22</v>
      </c>
      <c r="B1" s="20"/>
      <c r="C1" s="20"/>
      <c r="D1" s="20"/>
      <c r="E1" s="20"/>
      <c r="F1" s="20"/>
      <c r="G1" s="20"/>
    </row>
    <row r="3" spans="1:7" ht="15" customHeight="1" x14ac:dyDescent="0.3">
      <c r="A3" s="21" t="s">
        <v>156</v>
      </c>
      <c r="B3" s="21"/>
      <c r="C3" s="21"/>
      <c r="D3" s="21"/>
      <c r="E3" s="21"/>
      <c r="F3" s="21"/>
      <c r="G3" s="21"/>
    </row>
    <row r="4" spans="1:7" ht="15" customHeight="1" x14ac:dyDescent="0.3">
      <c r="A4" s="1" t="s">
        <v>185</v>
      </c>
      <c r="B4" s="1" t="s">
        <v>52</v>
      </c>
      <c r="C4" s="1" t="s">
        <v>53</v>
      </c>
      <c r="D4" s="1" t="s">
        <v>186</v>
      </c>
      <c r="E4" s="1" t="s">
        <v>187</v>
      </c>
      <c r="F4" s="1" t="s">
        <v>188</v>
      </c>
      <c r="G4" s="1" t="s">
        <v>189</v>
      </c>
    </row>
    <row r="5" spans="1:7" ht="15" customHeight="1" x14ac:dyDescent="0.3">
      <c r="A5" s="3" t="s">
        <v>190</v>
      </c>
      <c r="B5" s="4">
        <v>7</v>
      </c>
      <c r="C5" s="5">
        <v>42.29</v>
      </c>
      <c r="D5" s="5">
        <v>185.29</v>
      </c>
      <c r="E5" s="5">
        <v>1297.04</v>
      </c>
      <c r="F5" s="5">
        <v>138</v>
      </c>
      <c r="G5" s="6">
        <v>1.92</v>
      </c>
    </row>
    <row r="6" spans="1:7" ht="15" customHeight="1" x14ac:dyDescent="0.3">
      <c r="A6" s="2" t="s">
        <v>191</v>
      </c>
      <c r="B6" s="13">
        <v>392</v>
      </c>
      <c r="C6" s="15">
        <v>29.28</v>
      </c>
      <c r="D6" s="15">
        <v>123.01</v>
      </c>
      <c r="E6" s="15">
        <v>48220.22</v>
      </c>
      <c r="F6" s="15">
        <v>136.88</v>
      </c>
      <c r="G6" s="15">
        <v>71.540000000000006</v>
      </c>
    </row>
    <row r="7" spans="1:7" ht="15" customHeight="1" x14ac:dyDescent="0.3">
      <c r="A7" s="3" t="s">
        <v>192</v>
      </c>
      <c r="B7" s="4">
        <v>200</v>
      </c>
      <c r="C7" s="5">
        <v>21.35</v>
      </c>
      <c r="D7" s="5">
        <v>89.45</v>
      </c>
      <c r="E7" s="5">
        <v>17889.3</v>
      </c>
      <c r="F7" s="5">
        <v>118.1</v>
      </c>
      <c r="G7" s="5">
        <v>26.54</v>
      </c>
    </row>
    <row r="9" spans="1:7" ht="15" customHeight="1" x14ac:dyDescent="0.3">
      <c r="A9" s="22" t="s">
        <v>57</v>
      </c>
      <c r="B9" s="22"/>
      <c r="C9" s="22"/>
    </row>
    <row r="10" spans="1:7" ht="15" customHeight="1" x14ac:dyDescent="0.3">
      <c r="A10" s="7" t="s">
        <v>58</v>
      </c>
      <c r="B10" s="7" t="s">
        <v>59</v>
      </c>
      <c r="C10" s="7" t="s">
        <v>125</v>
      </c>
    </row>
    <row r="11" spans="1:7" ht="15" customHeight="1" x14ac:dyDescent="0.3">
      <c r="A11" s="3" t="s">
        <v>193</v>
      </c>
      <c r="B11" s="3" t="s">
        <v>194</v>
      </c>
      <c r="C11" s="3" t="s">
        <v>195</v>
      </c>
    </row>
    <row r="12" spans="1:7" ht="15" customHeight="1" x14ac:dyDescent="0.3">
      <c r="A12" s="2" t="s">
        <v>196</v>
      </c>
      <c r="B12" s="2" t="s">
        <v>197</v>
      </c>
      <c r="C12" s="2" t="s">
        <v>198</v>
      </c>
    </row>
    <row r="14" spans="1:7" ht="18" customHeight="1" x14ac:dyDescent="0.3">
      <c r="A14" s="29" t="s">
        <v>68</v>
      </c>
      <c r="B14" s="29"/>
      <c r="C14" s="29"/>
      <c r="D14" s="29"/>
      <c r="E14" s="29"/>
      <c r="F14" s="29"/>
      <c r="G14" s="29"/>
    </row>
    <row r="15" spans="1:7" ht="39.75" customHeight="1" x14ac:dyDescent="0.3">
      <c r="A15" s="1" t="s">
        <v>69</v>
      </c>
      <c r="B15" s="24" t="s">
        <v>199</v>
      </c>
      <c r="C15" s="24"/>
      <c r="D15" s="24"/>
      <c r="E15" s="24"/>
      <c r="F15" s="24"/>
      <c r="G15" s="24"/>
    </row>
    <row r="16" spans="1:7" ht="39.75" customHeight="1" x14ac:dyDescent="0.3">
      <c r="A16" s="1" t="s">
        <v>71</v>
      </c>
      <c r="B16" s="18" t="s">
        <v>200</v>
      </c>
      <c r="C16" s="18"/>
      <c r="D16" s="18"/>
      <c r="E16" s="18"/>
      <c r="F16" s="18"/>
      <c r="G16" s="18"/>
    </row>
    <row r="17" spans="1:7" ht="39.75" customHeight="1" x14ac:dyDescent="0.3">
      <c r="A17" s="1" t="s">
        <v>73</v>
      </c>
      <c r="B17" s="19" t="s">
        <v>201</v>
      </c>
      <c r="C17" s="19"/>
      <c r="D17" s="19"/>
      <c r="E17" s="19"/>
      <c r="F17" s="19"/>
      <c r="G17" s="19"/>
    </row>
    <row r="20" spans="1:7" ht="17.399999999999999" x14ac:dyDescent="0.3">
      <c r="A20" s="17" t="s">
        <v>452</v>
      </c>
      <c r="B20" s="17"/>
    </row>
  </sheetData>
  <mergeCells count="8">
    <mergeCell ref="A20:B20"/>
    <mergeCell ref="B16:G16"/>
    <mergeCell ref="B17:G17"/>
    <mergeCell ref="A1:G1"/>
    <mergeCell ref="A3:G3"/>
    <mergeCell ref="A9:C9"/>
    <mergeCell ref="A14:G14"/>
    <mergeCell ref="B15:G1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F46"/>
  <sheetViews>
    <sheetView zoomScaleNormal="100" workbookViewId="0">
      <pane ySplit="1" topLeftCell="A5" activePane="bottomLeft" state="frozen"/>
      <selection pane="bottomLeft" activeCell="J60" sqref="J60"/>
    </sheetView>
  </sheetViews>
  <sheetFormatPr defaultColWidth="8.6640625" defaultRowHeight="14.4" x14ac:dyDescent="0.3"/>
  <cols>
    <col min="1" max="1" width="18.5546875" customWidth="1"/>
    <col min="2" max="2" width="42.109375" customWidth="1"/>
    <col min="3" max="3" width="32.88671875" customWidth="1"/>
    <col min="4" max="4" width="15" customWidth="1"/>
    <col min="6" max="6" width="10" customWidth="1"/>
  </cols>
  <sheetData>
    <row r="1" spans="1:6" ht="36" customHeight="1" x14ac:dyDescent="0.3">
      <c r="A1" s="20" t="s">
        <v>202</v>
      </c>
      <c r="B1" s="20"/>
      <c r="C1" s="20"/>
      <c r="D1" s="20"/>
      <c r="E1" s="20"/>
      <c r="F1" s="20"/>
    </row>
    <row r="3" spans="1:6" ht="15" customHeight="1" x14ac:dyDescent="0.3">
      <c r="A3" s="21" t="s">
        <v>203</v>
      </c>
      <c r="B3" s="21"/>
      <c r="C3" s="21"/>
      <c r="D3" s="21"/>
      <c r="E3" s="21"/>
    </row>
    <row r="4" spans="1:6" ht="15" customHeight="1" x14ac:dyDescent="0.3">
      <c r="A4" s="1" t="s">
        <v>204</v>
      </c>
      <c r="B4" s="1" t="s">
        <v>205</v>
      </c>
      <c r="C4" s="1" t="s">
        <v>78</v>
      </c>
      <c r="D4" s="1" t="s">
        <v>83</v>
      </c>
      <c r="E4" s="1" t="s">
        <v>84</v>
      </c>
    </row>
    <row r="5" spans="1:6" ht="15" customHeight="1" x14ac:dyDescent="0.3">
      <c r="A5" s="3" t="s">
        <v>206</v>
      </c>
      <c r="B5" s="3" t="s">
        <v>207</v>
      </c>
      <c r="C5" s="3" t="s">
        <v>106</v>
      </c>
      <c r="D5" s="4">
        <v>3</v>
      </c>
      <c r="E5" s="6">
        <v>8.9700000000000006</v>
      </c>
    </row>
    <row r="6" spans="1:6" ht="15" customHeight="1" x14ac:dyDescent="0.3">
      <c r="A6" s="2" t="s">
        <v>208</v>
      </c>
      <c r="B6" s="2" t="s">
        <v>209</v>
      </c>
      <c r="C6" s="2" t="s">
        <v>97</v>
      </c>
      <c r="D6" s="13">
        <v>7</v>
      </c>
      <c r="E6" s="15">
        <v>25.93</v>
      </c>
    </row>
    <row r="7" spans="1:6" ht="15" customHeight="1" x14ac:dyDescent="0.3">
      <c r="A7" s="3" t="s">
        <v>208</v>
      </c>
      <c r="B7" s="3" t="s">
        <v>210</v>
      </c>
      <c r="C7" s="3" t="s">
        <v>108</v>
      </c>
      <c r="D7" s="4">
        <v>4</v>
      </c>
      <c r="E7" s="5">
        <v>16.96</v>
      </c>
    </row>
    <row r="8" spans="1:6" ht="15" customHeight="1" x14ac:dyDescent="0.3">
      <c r="A8" s="2" t="s">
        <v>208</v>
      </c>
      <c r="B8" s="2" t="s">
        <v>211</v>
      </c>
      <c r="C8" s="2" t="s">
        <v>102</v>
      </c>
      <c r="D8" s="13">
        <v>5</v>
      </c>
      <c r="E8" s="15">
        <v>26.95</v>
      </c>
    </row>
    <row r="9" spans="1:6" ht="15" customHeight="1" x14ac:dyDescent="0.3">
      <c r="A9" s="3" t="s">
        <v>208</v>
      </c>
      <c r="B9" s="3" t="s">
        <v>211</v>
      </c>
      <c r="C9" s="3" t="s">
        <v>106</v>
      </c>
      <c r="D9" s="4">
        <v>5</v>
      </c>
      <c r="E9" s="5">
        <v>31.95</v>
      </c>
    </row>
    <row r="10" spans="1:6" ht="15" customHeight="1" x14ac:dyDescent="0.3">
      <c r="A10" s="2" t="s">
        <v>212</v>
      </c>
      <c r="B10" s="2" t="s">
        <v>213</v>
      </c>
      <c r="C10" s="2" t="s">
        <v>214</v>
      </c>
      <c r="D10" s="13">
        <v>5</v>
      </c>
      <c r="E10" s="15">
        <v>13.95</v>
      </c>
    </row>
    <row r="11" spans="1:6" ht="15" customHeight="1" x14ac:dyDescent="0.3">
      <c r="A11" s="3" t="s">
        <v>215</v>
      </c>
      <c r="B11" s="3" t="s">
        <v>216</v>
      </c>
      <c r="C11" s="3" t="s">
        <v>106</v>
      </c>
      <c r="D11" s="4">
        <v>4</v>
      </c>
      <c r="E11" s="5">
        <v>21.96</v>
      </c>
    </row>
    <row r="12" spans="1:6" ht="15" customHeight="1" x14ac:dyDescent="0.3">
      <c r="A12" s="2" t="s">
        <v>215</v>
      </c>
      <c r="B12" s="2" t="s">
        <v>216</v>
      </c>
      <c r="C12" s="2" t="s">
        <v>217</v>
      </c>
      <c r="D12" s="13">
        <v>4</v>
      </c>
      <c r="E12" s="14">
        <v>8.9600000000000009</v>
      </c>
    </row>
    <row r="13" spans="1:6" ht="15" customHeight="1" x14ac:dyDescent="0.3">
      <c r="A13" s="3" t="s">
        <v>215</v>
      </c>
      <c r="B13" s="3" t="s">
        <v>218</v>
      </c>
      <c r="C13" s="3" t="s">
        <v>102</v>
      </c>
      <c r="D13" s="4">
        <v>5</v>
      </c>
      <c r="E13" s="5">
        <v>25.95</v>
      </c>
    </row>
    <row r="14" spans="1:6" ht="15" customHeight="1" x14ac:dyDescent="0.3">
      <c r="A14" s="2" t="s">
        <v>219</v>
      </c>
      <c r="B14" s="2" t="s">
        <v>220</v>
      </c>
      <c r="C14" s="2" t="s">
        <v>88</v>
      </c>
      <c r="D14" s="13">
        <v>5</v>
      </c>
      <c r="E14" s="15">
        <v>16.95</v>
      </c>
    </row>
    <row r="15" spans="1:6" ht="15" customHeight="1" x14ac:dyDescent="0.3">
      <c r="A15" s="3" t="s">
        <v>221</v>
      </c>
      <c r="B15" s="3" t="s">
        <v>222</v>
      </c>
      <c r="C15" s="3" t="s">
        <v>104</v>
      </c>
      <c r="D15" s="4">
        <v>4</v>
      </c>
      <c r="E15" s="5">
        <v>11.96</v>
      </c>
    </row>
    <row r="16" spans="1:6" ht="15" customHeight="1" x14ac:dyDescent="0.3">
      <c r="A16" s="2" t="s">
        <v>221</v>
      </c>
      <c r="B16" s="2" t="s">
        <v>223</v>
      </c>
      <c r="C16" s="2" t="s">
        <v>224</v>
      </c>
      <c r="D16" s="13">
        <v>6</v>
      </c>
      <c r="E16" s="15">
        <v>29.94</v>
      </c>
    </row>
    <row r="17" spans="1:5" ht="15" customHeight="1" x14ac:dyDescent="0.3">
      <c r="A17" s="3" t="s">
        <v>221</v>
      </c>
      <c r="B17" s="3" t="s">
        <v>225</v>
      </c>
      <c r="C17" s="3" t="s">
        <v>224</v>
      </c>
      <c r="D17" s="4">
        <v>5</v>
      </c>
      <c r="E17" s="5">
        <v>18.95</v>
      </c>
    </row>
    <row r="18" spans="1:5" ht="15" customHeight="1" x14ac:dyDescent="0.3">
      <c r="A18" s="2" t="s">
        <v>221</v>
      </c>
      <c r="B18" s="2" t="s">
        <v>226</v>
      </c>
      <c r="C18" s="2" t="s">
        <v>102</v>
      </c>
      <c r="D18" s="13">
        <v>3</v>
      </c>
      <c r="E18" s="15">
        <v>16.97</v>
      </c>
    </row>
    <row r="19" spans="1:5" ht="15" customHeight="1" x14ac:dyDescent="0.3">
      <c r="A19" s="3" t="s">
        <v>221</v>
      </c>
      <c r="B19" s="3" t="s">
        <v>226</v>
      </c>
      <c r="C19" s="3" t="s">
        <v>110</v>
      </c>
      <c r="D19" s="4">
        <v>3</v>
      </c>
      <c r="E19" s="5">
        <v>16.97</v>
      </c>
    </row>
    <row r="20" spans="1:5" ht="15" customHeight="1" x14ac:dyDescent="0.3">
      <c r="A20" s="2" t="s">
        <v>221</v>
      </c>
      <c r="B20" s="2" t="s">
        <v>227</v>
      </c>
      <c r="C20" s="2" t="s">
        <v>102</v>
      </c>
      <c r="D20" s="13">
        <v>5</v>
      </c>
      <c r="E20" s="15">
        <v>15.95</v>
      </c>
    </row>
    <row r="21" spans="1:5" ht="15" customHeight="1" x14ac:dyDescent="0.3">
      <c r="A21" s="3" t="s">
        <v>221</v>
      </c>
      <c r="B21" s="3" t="s">
        <v>228</v>
      </c>
      <c r="C21" s="3" t="s">
        <v>102</v>
      </c>
      <c r="D21" s="4">
        <v>3</v>
      </c>
      <c r="E21" s="5">
        <v>13.97</v>
      </c>
    </row>
    <row r="22" spans="1:5" ht="15" customHeight="1" x14ac:dyDescent="0.3">
      <c r="A22" s="2" t="s">
        <v>221</v>
      </c>
      <c r="B22" s="2" t="s">
        <v>228</v>
      </c>
      <c r="C22" s="2" t="s">
        <v>91</v>
      </c>
      <c r="D22" s="13">
        <v>3</v>
      </c>
      <c r="E22" s="14">
        <v>7.97</v>
      </c>
    </row>
    <row r="23" spans="1:5" ht="15" customHeight="1" x14ac:dyDescent="0.3">
      <c r="A23" s="3" t="s">
        <v>221</v>
      </c>
      <c r="B23" s="3" t="s">
        <v>229</v>
      </c>
      <c r="C23" s="3" t="s">
        <v>224</v>
      </c>
      <c r="D23" s="4">
        <v>4</v>
      </c>
      <c r="E23" s="5">
        <v>22.96</v>
      </c>
    </row>
    <row r="24" spans="1:5" ht="15" customHeight="1" x14ac:dyDescent="0.3">
      <c r="A24" s="2" t="s">
        <v>221</v>
      </c>
      <c r="B24" s="2" t="s">
        <v>229</v>
      </c>
      <c r="C24" s="2" t="s">
        <v>104</v>
      </c>
      <c r="D24" s="13">
        <v>4</v>
      </c>
      <c r="E24" s="14">
        <v>7.96</v>
      </c>
    </row>
    <row r="25" spans="1:5" ht="15" customHeight="1" x14ac:dyDescent="0.3">
      <c r="A25" s="3" t="s">
        <v>221</v>
      </c>
      <c r="B25" s="3" t="s">
        <v>230</v>
      </c>
      <c r="C25" s="3" t="s">
        <v>108</v>
      </c>
      <c r="D25" s="4">
        <v>5</v>
      </c>
      <c r="E25" s="5">
        <v>25.95</v>
      </c>
    </row>
    <row r="26" spans="1:5" ht="15" customHeight="1" x14ac:dyDescent="0.3">
      <c r="A26" s="2" t="s">
        <v>221</v>
      </c>
      <c r="B26" s="2" t="s">
        <v>231</v>
      </c>
      <c r="C26" s="2" t="s">
        <v>214</v>
      </c>
      <c r="D26" s="13">
        <v>4</v>
      </c>
      <c r="E26" s="15">
        <v>25.96</v>
      </c>
    </row>
    <row r="27" spans="1:5" ht="15" customHeight="1" x14ac:dyDescent="0.3">
      <c r="A27" s="3" t="s">
        <v>221</v>
      </c>
      <c r="B27" s="3" t="s">
        <v>232</v>
      </c>
      <c r="C27" s="3" t="s">
        <v>104</v>
      </c>
      <c r="D27" s="4">
        <v>8</v>
      </c>
      <c r="E27" s="5">
        <v>27.92</v>
      </c>
    </row>
    <row r="28" spans="1:5" ht="15" customHeight="1" x14ac:dyDescent="0.3">
      <c r="A28" s="2" t="s">
        <v>221</v>
      </c>
      <c r="B28" s="2" t="s">
        <v>233</v>
      </c>
      <c r="C28" s="2" t="s">
        <v>119</v>
      </c>
      <c r="D28" s="13">
        <v>4</v>
      </c>
      <c r="E28" s="15">
        <v>24.96</v>
      </c>
    </row>
    <row r="29" spans="1:5" ht="15" customHeight="1" x14ac:dyDescent="0.3">
      <c r="A29" s="3" t="s">
        <v>221</v>
      </c>
      <c r="B29" s="3" t="s">
        <v>234</v>
      </c>
      <c r="C29" s="3" t="s">
        <v>104</v>
      </c>
      <c r="D29" s="4">
        <v>6</v>
      </c>
      <c r="E29" s="5">
        <v>24.94</v>
      </c>
    </row>
    <row r="30" spans="1:5" ht="15" customHeight="1" x14ac:dyDescent="0.3">
      <c r="A30" s="2" t="s">
        <v>221</v>
      </c>
      <c r="B30" s="2" t="s">
        <v>235</v>
      </c>
      <c r="C30" s="2" t="s">
        <v>108</v>
      </c>
      <c r="D30" s="13">
        <v>4</v>
      </c>
      <c r="E30" s="15">
        <v>17.96</v>
      </c>
    </row>
    <row r="31" spans="1:5" ht="15" customHeight="1" x14ac:dyDescent="0.3">
      <c r="A31" s="3" t="s">
        <v>236</v>
      </c>
      <c r="B31" s="3" t="s">
        <v>237</v>
      </c>
      <c r="C31" s="3" t="s">
        <v>102</v>
      </c>
      <c r="D31" s="4">
        <v>5</v>
      </c>
      <c r="E31" s="5">
        <v>19.95</v>
      </c>
    </row>
    <row r="32" spans="1:5" ht="15" customHeight="1" x14ac:dyDescent="0.3">
      <c r="A32" s="2" t="s">
        <v>238</v>
      </c>
      <c r="B32" s="2" t="s">
        <v>239</v>
      </c>
      <c r="C32" s="2" t="s">
        <v>104</v>
      </c>
      <c r="D32" s="13">
        <v>5</v>
      </c>
      <c r="E32" s="15">
        <v>24.95</v>
      </c>
    </row>
    <row r="33" spans="1:6" ht="15" customHeight="1" x14ac:dyDescent="0.3">
      <c r="A33" s="3" t="s">
        <v>238</v>
      </c>
      <c r="B33" s="3" t="s">
        <v>240</v>
      </c>
      <c r="C33" s="3" t="s">
        <v>224</v>
      </c>
      <c r="D33" s="4">
        <v>4</v>
      </c>
      <c r="E33" s="5">
        <v>11.96</v>
      </c>
    </row>
    <row r="34" spans="1:6" ht="15" customHeight="1" x14ac:dyDescent="0.3">
      <c r="A34" s="2" t="s">
        <v>238</v>
      </c>
      <c r="B34" s="2" t="s">
        <v>240</v>
      </c>
      <c r="C34" s="2" t="s">
        <v>113</v>
      </c>
      <c r="D34" s="13">
        <v>4</v>
      </c>
      <c r="E34" s="15">
        <v>10.96</v>
      </c>
    </row>
    <row r="36" spans="1:6" ht="15" customHeight="1" x14ac:dyDescent="0.3">
      <c r="A36" s="30" t="s">
        <v>57</v>
      </c>
      <c r="B36" s="30"/>
      <c r="C36" s="30"/>
    </row>
    <row r="37" spans="1:6" ht="15" customHeight="1" x14ac:dyDescent="0.3">
      <c r="A37" s="7" t="s">
        <v>58</v>
      </c>
      <c r="B37" s="7" t="s">
        <v>59</v>
      </c>
      <c r="C37" s="7" t="s">
        <v>125</v>
      </c>
    </row>
    <row r="38" spans="1:6" ht="15" customHeight="1" x14ac:dyDescent="0.3">
      <c r="A38" s="3" t="s">
        <v>241</v>
      </c>
      <c r="B38" s="3" t="s">
        <v>242</v>
      </c>
      <c r="C38" s="3" t="s">
        <v>243</v>
      </c>
    </row>
    <row r="39" spans="1:6" ht="15" customHeight="1" x14ac:dyDescent="0.3">
      <c r="A39" s="2" t="s">
        <v>244</v>
      </c>
      <c r="B39" s="2" t="s">
        <v>245</v>
      </c>
      <c r="C39" s="2" t="s">
        <v>246</v>
      </c>
    </row>
    <row r="41" spans="1:6" ht="18" customHeight="1" x14ac:dyDescent="0.3">
      <c r="A41" s="29" t="s">
        <v>68</v>
      </c>
      <c r="B41" s="29"/>
      <c r="C41" s="29"/>
      <c r="D41" s="29"/>
      <c r="E41" s="29"/>
      <c r="F41" s="29"/>
    </row>
    <row r="42" spans="1:6" ht="39.75" customHeight="1" x14ac:dyDescent="0.3">
      <c r="A42" s="1" t="s">
        <v>69</v>
      </c>
      <c r="B42" s="24" t="s">
        <v>247</v>
      </c>
      <c r="C42" s="24"/>
      <c r="D42" s="24"/>
      <c r="E42" s="24"/>
      <c r="F42" s="24"/>
    </row>
    <row r="43" spans="1:6" ht="39.75" customHeight="1" x14ac:dyDescent="0.3">
      <c r="A43" s="1" t="s">
        <v>71</v>
      </c>
      <c r="B43" s="18" t="s">
        <v>248</v>
      </c>
      <c r="C43" s="18"/>
      <c r="D43" s="18"/>
      <c r="E43" s="18"/>
      <c r="F43" s="18"/>
    </row>
    <row r="44" spans="1:6" ht="39.75" customHeight="1" x14ac:dyDescent="0.3">
      <c r="A44" s="1" t="s">
        <v>73</v>
      </c>
      <c r="B44" s="19" t="s">
        <v>249</v>
      </c>
      <c r="C44" s="19"/>
      <c r="D44" s="19"/>
      <c r="E44" s="19"/>
      <c r="F44" s="19"/>
    </row>
    <row r="46" spans="1:6" ht="17.399999999999999" x14ac:dyDescent="0.3">
      <c r="A46" s="17" t="s">
        <v>452</v>
      </c>
      <c r="B46" s="17"/>
    </row>
  </sheetData>
  <mergeCells count="8">
    <mergeCell ref="A46:B46"/>
    <mergeCell ref="B43:F43"/>
    <mergeCell ref="B44:F44"/>
    <mergeCell ref="A1:F1"/>
    <mergeCell ref="A3:E3"/>
    <mergeCell ref="A36:C36"/>
    <mergeCell ref="A41:F41"/>
    <mergeCell ref="B42:F4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J19"/>
  <sheetViews>
    <sheetView topLeftCell="B1" zoomScaleNormal="100" workbookViewId="0">
      <pane ySplit="1" topLeftCell="A2" activePane="bottomLeft" state="frozen"/>
      <selection pane="bottomLeft" activeCell="E19" sqref="E19"/>
    </sheetView>
  </sheetViews>
  <sheetFormatPr defaultColWidth="8.6640625" defaultRowHeight="14.4" x14ac:dyDescent="0.3"/>
  <cols>
    <col min="1" max="1" width="24.33203125" customWidth="1"/>
    <col min="2" max="2" width="40.88671875" customWidth="1"/>
    <col min="3" max="3" width="26.77734375" customWidth="1"/>
    <col min="4" max="4" width="20" customWidth="1"/>
    <col min="5" max="5" width="15" customWidth="1"/>
    <col min="6" max="6" width="18" customWidth="1"/>
    <col min="7" max="7" width="17.44140625" bestFit="1" customWidth="1"/>
    <col min="8" max="8" width="21" customWidth="1"/>
    <col min="9" max="9" width="15" customWidth="1"/>
    <col min="10" max="10" width="20" customWidth="1"/>
  </cols>
  <sheetData>
    <row r="1" spans="1:10" ht="36" customHeight="1" x14ac:dyDescent="0.3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15" customHeight="1" x14ac:dyDescent="0.3">
      <c r="A3" s="21" t="s">
        <v>135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15" customHeight="1" x14ac:dyDescent="0.3">
      <c r="A4" s="1" t="s">
        <v>137</v>
      </c>
      <c r="B4" s="1" t="s">
        <v>205</v>
      </c>
      <c r="C4" s="1" t="s">
        <v>204</v>
      </c>
      <c r="D4" s="1" t="s">
        <v>251</v>
      </c>
      <c r="E4" s="1" t="s">
        <v>83</v>
      </c>
      <c r="F4" s="1" t="s">
        <v>173</v>
      </c>
      <c r="G4" s="1" t="s">
        <v>252</v>
      </c>
      <c r="H4" s="1" t="s">
        <v>144</v>
      </c>
      <c r="I4" s="1" t="s">
        <v>84</v>
      </c>
      <c r="J4" s="1" t="s">
        <v>253</v>
      </c>
    </row>
    <row r="5" spans="1:10" ht="15" customHeight="1" x14ac:dyDescent="0.3">
      <c r="A5" s="4">
        <v>1</v>
      </c>
      <c r="B5" s="3" t="s">
        <v>254</v>
      </c>
      <c r="C5" s="3" t="s">
        <v>255</v>
      </c>
      <c r="D5" s="4">
        <v>1</v>
      </c>
      <c r="E5" s="4">
        <v>7923</v>
      </c>
      <c r="F5" s="4">
        <v>599</v>
      </c>
      <c r="G5" s="4">
        <v>599</v>
      </c>
      <c r="H5" s="5">
        <v>100</v>
      </c>
      <c r="I5" s="5">
        <v>33679.79</v>
      </c>
      <c r="J5" s="6">
        <v>4.25</v>
      </c>
    </row>
    <row r="6" spans="1:10" ht="15" customHeight="1" x14ac:dyDescent="0.3">
      <c r="A6" s="13">
        <v>2</v>
      </c>
      <c r="B6" s="2" t="s">
        <v>256</v>
      </c>
      <c r="C6" s="2" t="s">
        <v>257</v>
      </c>
      <c r="D6" s="13">
        <v>1</v>
      </c>
      <c r="E6" s="13">
        <v>8121</v>
      </c>
      <c r="F6" s="13">
        <v>599</v>
      </c>
      <c r="G6" s="13">
        <v>599</v>
      </c>
      <c r="H6" s="15">
        <v>100</v>
      </c>
      <c r="I6" s="15">
        <v>33726.769999999997</v>
      </c>
      <c r="J6" s="14">
        <v>4.1500000000000004</v>
      </c>
    </row>
    <row r="8" spans="1:10" ht="15" customHeight="1" x14ac:dyDescent="0.3">
      <c r="A8" s="22" t="s">
        <v>57</v>
      </c>
      <c r="B8" s="22"/>
      <c r="C8" s="22"/>
    </row>
    <row r="9" spans="1:10" ht="15" customHeight="1" x14ac:dyDescent="0.3">
      <c r="A9" s="7" t="s">
        <v>58</v>
      </c>
      <c r="B9" s="7" t="s">
        <v>59</v>
      </c>
      <c r="C9" s="7" t="s">
        <v>125</v>
      </c>
    </row>
    <row r="10" spans="1:10" ht="15" customHeight="1" x14ac:dyDescent="0.3">
      <c r="A10" s="3" t="s">
        <v>258</v>
      </c>
      <c r="B10" s="3" t="s">
        <v>259</v>
      </c>
      <c r="C10" s="3" t="s">
        <v>260</v>
      </c>
    </row>
    <row r="11" spans="1:10" ht="15" customHeight="1" x14ac:dyDescent="0.3">
      <c r="A11" s="2" t="s">
        <v>126</v>
      </c>
      <c r="B11" s="2" t="s">
        <v>242</v>
      </c>
      <c r="C11" s="2" t="s">
        <v>261</v>
      </c>
    </row>
    <row r="13" spans="1:10" ht="18" customHeight="1" x14ac:dyDescent="0.3">
      <c r="A13" s="23" t="s">
        <v>68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39.75" customHeight="1" x14ac:dyDescent="0.3">
      <c r="A14" s="1" t="s">
        <v>69</v>
      </c>
      <c r="B14" s="24" t="s">
        <v>262</v>
      </c>
      <c r="C14" s="24"/>
      <c r="D14" s="24"/>
      <c r="E14" s="24"/>
      <c r="F14" s="24"/>
      <c r="G14" s="24"/>
      <c r="H14" s="24"/>
      <c r="I14" s="24"/>
      <c r="J14" s="24"/>
    </row>
    <row r="15" spans="1:10" ht="39.75" customHeight="1" x14ac:dyDescent="0.3">
      <c r="A15" s="1" t="s">
        <v>71</v>
      </c>
      <c r="B15" s="18" t="s">
        <v>263</v>
      </c>
      <c r="C15" s="18"/>
      <c r="D15" s="18"/>
      <c r="E15" s="18"/>
      <c r="F15" s="18"/>
      <c r="G15" s="18"/>
      <c r="H15" s="18"/>
      <c r="I15" s="18"/>
      <c r="J15" s="18"/>
    </row>
    <row r="16" spans="1:10" ht="39.75" customHeight="1" x14ac:dyDescent="0.3">
      <c r="A16" s="1" t="s">
        <v>73</v>
      </c>
      <c r="B16" s="19" t="s">
        <v>264</v>
      </c>
      <c r="C16" s="19"/>
      <c r="D16" s="19"/>
      <c r="E16" s="19"/>
      <c r="F16" s="19"/>
      <c r="G16" s="19"/>
      <c r="H16" s="19"/>
      <c r="I16" s="19"/>
      <c r="J16" s="19"/>
    </row>
    <row r="19" spans="1:2" ht="17.399999999999999" x14ac:dyDescent="0.3">
      <c r="A19" s="17" t="s">
        <v>452</v>
      </c>
      <c r="B19" s="17"/>
    </row>
  </sheetData>
  <mergeCells count="8">
    <mergeCell ref="A19:B19"/>
    <mergeCell ref="B15:J15"/>
    <mergeCell ref="B16:J16"/>
    <mergeCell ref="A1:J1"/>
    <mergeCell ref="A3:J3"/>
    <mergeCell ref="A8:C8"/>
    <mergeCell ref="A13:J13"/>
    <mergeCell ref="B14:J14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79998168889431442"/>
  </sheetPr>
  <dimension ref="A1:F18"/>
  <sheetViews>
    <sheetView zoomScaleNormal="100" workbookViewId="0">
      <pane ySplit="1" topLeftCell="A29" activePane="bottomLeft" state="frozen"/>
      <selection pane="bottomLeft" activeCell="C22" sqref="C22"/>
    </sheetView>
  </sheetViews>
  <sheetFormatPr defaultColWidth="8.6640625" defaultRowHeight="14.4" x14ac:dyDescent="0.3"/>
  <cols>
    <col min="1" max="1" width="16.88671875" customWidth="1"/>
    <col min="2" max="2" width="59.88671875" customWidth="1"/>
    <col min="3" max="3" width="35.109375" customWidth="1"/>
    <col min="4" max="4" width="24.5546875" customWidth="1"/>
    <col min="5" max="5" width="13" customWidth="1"/>
    <col min="6" max="6" width="26" customWidth="1"/>
  </cols>
  <sheetData>
    <row r="1" spans="1:6" ht="36" customHeight="1" x14ac:dyDescent="0.3">
      <c r="A1" s="20" t="s">
        <v>265</v>
      </c>
      <c r="B1" s="20"/>
      <c r="C1" s="20"/>
      <c r="D1" s="20"/>
      <c r="E1" s="20"/>
      <c r="F1" s="20"/>
    </row>
    <row r="3" spans="1:6" ht="15" customHeight="1" x14ac:dyDescent="0.3">
      <c r="A3" s="21" t="s">
        <v>135</v>
      </c>
      <c r="B3" s="21"/>
      <c r="C3" s="21"/>
      <c r="D3" s="21"/>
      <c r="E3" s="21"/>
      <c r="F3" s="21"/>
    </row>
    <row r="4" spans="1:6" ht="15" customHeight="1" x14ac:dyDescent="0.3">
      <c r="A4" s="1" t="s">
        <v>266</v>
      </c>
      <c r="B4" s="1" t="s">
        <v>267</v>
      </c>
      <c r="C4" s="1" t="s">
        <v>268</v>
      </c>
      <c r="D4" s="1" t="s">
        <v>269</v>
      </c>
      <c r="E4" s="1" t="s">
        <v>270</v>
      </c>
      <c r="F4" s="1" t="s">
        <v>271</v>
      </c>
    </row>
    <row r="5" spans="1:6" ht="15" customHeight="1" x14ac:dyDescent="0.3">
      <c r="A5" s="3" t="s">
        <v>272</v>
      </c>
      <c r="B5" s="4">
        <v>596</v>
      </c>
      <c r="C5" s="4">
        <v>15970</v>
      </c>
      <c r="D5" s="5">
        <v>26.8</v>
      </c>
      <c r="E5" s="6">
        <v>67072.3</v>
      </c>
      <c r="F5" s="5">
        <v>4.2</v>
      </c>
    </row>
    <row r="6" spans="1:6" ht="15" customHeight="1" x14ac:dyDescent="0.3">
      <c r="A6" s="2" t="s">
        <v>273</v>
      </c>
      <c r="B6" s="13">
        <v>3</v>
      </c>
      <c r="C6" s="13">
        <v>74</v>
      </c>
      <c r="D6" s="15">
        <v>24.7</v>
      </c>
      <c r="E6" s="14">
        <v>334.26</v>
      </c>
      <c r="F6" s="15">
        <v>4.5199999999999996</v>
      </c>
    </row>
    <row r="8" spans="1:6" ht="15" customHeight="1" x14ac:dyDescent="0.3">
      <c r="A8" s="22" t="s">
        <v>57</v>
      </c>
      <c r="B8" s="22"/>
      <c r="C8" s="22"/>
    </row>
    <row r="9" spans="1:6" ht="15" customHeight="1" x14ac:dyDescent="0.3">
      <c r="A9" s="7" t="s">
        <v>58</v>
      </c>
      <c r="B9" s="7" t="s">
        <v>59</v>
      </c>
      <c r="C9" s="7" t="s">
        <v>125</v>
      </c>
    </row>
    <row r="10" spans="1:6" ht="15" customHeight="1" x14ac:dyDescent="0.3">
      <c r="A10" s="3" t="s">
        <v>241</v>
      </c>
      <c r="B10" s="3" t="s">
        <v>242</v>
      </c>
      <c r="C10" s="3" t="s">
        <v>274</v>
      </c>
    </row>
    <row r="11" spans="1:6" ht="15" customHeight="1" x14ac:dyDescent="0.3">
      <c r="A11" s="2" t="s">
        <v>275</v>
      </c>
      <c r="B11" s="2" t="s">
        <v>276</v>
      </c>
      <c r="C11" s="2" t="s">
        <v>277</v>
      </c>
    </row>
    <row r="13" spans="1:6" ht="18" customHeight="1" x14ac:dyDescent="0.3">
      <c r="A13" s="23" t="s">
        <v>68</v>
      </c>
      <c r="B13" s="23"/>
      <c r="C13" s="23"/>
      <c r="D13" s="23"/>
      <c r="E13" s="23"/>
      <c r="F13" s="23"/>
    </row>
    <row r="14" spans="1:6" ht="39.75" customHeight="1" x14ac:dyDescent="0.3">
      <c r="A14" s="1" t="s">
        <v>69</v>
      </c>
      <c r="B14" s="24" t="s">
        <v>278</v>
      </c>
      <c r="C14" s="24"/>
      <c r="D14" s="24"/>
      <c r="E14" s="24"/>
      <c r="F14" s="24"/>
    </row>
    <row r="15" spans="1:6" ht="39.75" customHeight="1" x14ac:dyDescent="0.3">
      <c r="A15" s="1" t="s">
        <v>71</v>
      </c>
      <c r="B15" s="18" t="s">
        <v>279</v>
      </c>
      <c r="C15" s="18"/>
      <c r="D15" s="18"/>
      <c r="E15" s="18"/>
      <c r="F15" s="18"/>
    </row>
    <row r="16" spans="1:6" ht="39.75" customHeight="1" x14ac:dyDescent="0.3">
      <c r="A16" s="1" t="s">
        <v>73</v>
      </c>
      <c r="B16" s="19" t="s">
        <v>280</v>
      </c>
      <c r="C16" s="19"/>
      <c r="D16" s="19"/>
      <c r="E16" s="19"/>
      <c r="F16" s="19"/>
    </row>
    <row r="18" spans="1:2" ht="17.399999999999999" x14ac:dyDescent="0.3">
      <c r="A18" s="17" t="s">
        <v>452</v>
      </c>
      <c r="B18" s="17"/>
    </row>
  </sheetData>
  <mergeCells count="8">
    <mergeCell ref="A18:B18"/>
    <mergeCell ref="B15:F15"/>
    <mergeCell ref="B16:F16"/>
    <mergeCell ref="A1:F1"/>
    <mergeCell ref="A3:F3"/>
    <mergeCell ref="A8:C8"/>
    <mergeCell ref="A13:F13"/>
    <mergeCell ref="B14:F14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G33"/>
  <sheetViews>
    <sheetView zoomScaleNormal="100" workbookViewId="0">
      <pane ySplit="1" topLeftCell="A23" activePane="bottomLeft" state="frozen"/>
      <selection pane="bottomLeft" activeCell="E34" sqref="E34"/>
    </sheetView>
  </sheetViews>
  <sheetFormatPr defaultColWidth="8.6640625" defaultRowHeight="14.4" x14ac:dyDescent="0.3"/>
  <cols>
    <col min="1" max="1" width="26.21875" customWidth="1"/>
    <col min="2" max="2" width="62.6640625" customWidth="1"/>
    <col min="3" max="3" width="40.6640625" customWidth="1"/>
    <col min="4" max="4" width="18" customWidth="1"/>
    <col min="5" max="5" width="15" customWidth="1"/>
    <col min="6" max="6" width="13" customWidth="1"/>
    <col min="7" max="7" width="22" customWidth="1"/>
  </cols>
  <sheetData>
    <row r="1" spans="1:7" ht="36" customHeight="1" x14ac:dyDescent="0.3">
      <c r="A1" s="20" t="s">
        <v>33</v>
      </c>
      <c r="B1" s="20"/>
      <c r="C1" s="20"/>
      <c r="D1" s="20"/>
      <c r="E1" s="20"/>
      <c r="F1" s="20"/>
      <c r="G1" s="20"/>
    </row>
    <row r="3" spans="1:7" ht="15" customHeight="1" x14ac:dyDescent="0.3">
      <c r="A3" s="21" t="s">
        <v>281</v>
      </c>
      <c r="B3" s="21"/>
      <c r="C3" s="21"/>
      <c r="D3" s="21"/>
      <c r="E3" s="21"/>
      <c r="F3" s="21"/>
      <c r="G3" s="21"/>
    </row>
    <row r="4" spans="1:7" ht="15" customHeight="1" x14ac:dyDescent="0.3">
      <c r="A4" s="1" t="s">
        <v>282</v>
      </c>
      <c r="B4" s="1" t="s">
        <v>283</v>
      </c>
      <c r="C4" s="1" t="s">
        <v>268</v>
      </c>
      <c r="D4" s="1" t="s">
        <v>284</v>
      </c>
      <c r="E4" s="1" t="s">
        <v>270</v>
      </c>
      <c r="F4" s="1" t="s">
        <v>271</v>
      </c>
      <c r="G4" s="1" t="s">
        <v>285</v>
      </c>
    </row>
    <row r="5" spans="1:7" ht="15" customHeight="1" x14ac:dyDescent="0.3">
      <c r="A5" s="3" t="s">
        <v>224</v>
      </c>
      <c r="B5" s="3" t="s">
        <v>286</v>
      </c>
      <c r="C5" s="4">
        <v>1112</v>
      </c>
      <c r="D5" s="4">
        <v>510</v>
      </c>
      <c r="E5" s="5">
        <v>4375.8500000000004</v>
      </c>
      <c r="F5" s="6">
        <v>3.94</v>
      </c>
      <c r="G5" s="6">
        <v>2.2000000000000002</v>
      </c>
    </row>
    <row r="6" spans="1:7" ht="15" customHeight="1" x14ac:dyDescent="0.3">
      <c r="A6" s="2" t="s">
        <v>102</v>
      </c>
      <c r="B6" s="2" t="s">
        <v>286</v>
      </c>
      <c r="C6" s="13">
        <v>1166</v>
      </c>
      <c r="D6" s="13">
        <v>500</v>
      </c>
      <c r="E6" s="15">
        <v>4656.3</v>
      </c>
      <c r="F6" s="14">
        <v>3.99</v>
      </c>
      <c r="G6" s="14">
        <v>2.2999999999999998</v>
      </c>
    </row>
    <row r="7" spans="1:7" ht="15" customHeight="1" x14ac:dyDescent="0.3">
      <c r="A7" s="3" t="s">
        <v>116</v>
      </c>
      <c r="B7" s="3" t="s">
        <v>286</v>
      </c>
      <c r="C7" s="4">
        <v>945</v>
      </c>
      <c r="D7" s="4">
        <v>482</v>
      </c>
      <c r="E7" s="5">
        <v>3655.55</v>
      </c>
      <c r="F7" s="6">
        <v>3.87</v>
      </c>
      <c r="G7" s="6">
        <v>2</v>
      </c>
    </row>
    <row r="8" spans="1:7" ht="15" customHeight="1" x14ac:dyDescent="0.3">
      <c r="A8" s="2" t="s">
        <v>113</v>
      </c>
      <c r="B8" s="2" t="s">
        <v>286</v>
      </c>
      <c r="C8" s="13">
        <v>939</v>
      </c>
      <c r="D8" s="13">
        <v>468</v>
      </c>
      <c r="E8" s="15">
        <v>3639.59</v>
      </c>
      <c r="F8" s="14">
        <v>3.88</v>
      </c>
      <c r="G8" s="14">
        <v>2</v>
      </c>
    </row>
    <row r="9" spans="1:7" ht="15" customHeight="1" x14ac:dyDescent="0.3">
      <c r="A9" s="3" t="s">
        <v>106</v>
      </c>
      <c r="B9" s="3" t="s">
        <v>286</v>
      </c>
      <c r="C9" s="4">
        <v>941</v>
      </c>
      <c r="D9" s="4">
        <v>495</v>
      </c>
      <c r="E9" s="5">
        <v>4383.58</v>
      </c>
      <c r="F9" s="6">
        <v>4.66</v>
      </c>
      <c r="G9" s="6">
        <v>1.9</v>
      </c>
    </row>
    <row r="10" spans="1:7" ht="15" customHeight="1" x14ac:dyDescent="0.3">
      <c r="A10" s="2" t="s">
        <v>104</v>
      </c>
      <c r="B10" s="2" t="s">
        <v>286</v>
      </c>
      <c r="C10" s="13">
        <v>1050</v>
      </c>
      <c r="D10" s="13">
        <v>483</v>
      </c>
      <c r="E10" s="15">
        <v>4217.5200000000004</v>
      </c>
      <c r="F10" s="14">
        <v>4.0199999999999996</v>
      </c>
      <c r="G10" s="14">
        <v>2.2000000000000002</v>
      </c>
    </row>
    <row r="11" spans="1:7" ht="15" customHeight="1" x14ac:dyDescent="0.3">
      <c r="A11" s="3" t="s">
        <v>119</v>
      </c>
      <c r="B11" s="3" t="s">
        <v>286</v>
      </c>
      <c r="C11" s="4">
        <v>1060</v>
      </c>
      <c r="D11" s="4">
        <v>501</v>
      </c>
      <c r="E11" s="5">
        <v>4587.3900000000003</v>
      </c>
      <c r="F11" s="6">
        <v>4.33</v>
      </c>
      <c r="G11" s="6">
        <v>2.1</v>
      </c>
    </row>
    <row r="12" spans="1:7" ht="15" customHeight="1" x14ac:dyDescent="0.3">
      <c r="A12" s="2" t="s">
        <v>110</v>
      </c>
      <c r="B12" s="2" t="s">
        <v>286</v>
      </c>
      <c r="C12" s="13">
        <v>1096</v>
      </c>
      <c r="D12" s="13">
        <v>501</v>
      </c>
      <c r="E12" s="15">
        <v>4226.07</v>
      </c>
      <c r="F12" s="14">
        <v>3.86</v>
      </c>
      <c r="G12" s="14">
        <v>2.2000000000000002</v>
      </c>
    </row>
    <row r="13" spans="1:7" ht="15" customHeight="1" x14ac:dyDescent="0.3">
      <c r="A13" s="3" t="s">
        <v>91</v>
      </c>
      <c r="B13" s="3" t="s">
        <v>286</v>
      </c>
      <c r="C13" s="4">
        <v>1033</v>
      </c>
      <c r="D13" s="4">
        <v>493</v>
      </c>
      <c r="E13" s="5">
        <v>4270.67</v>
      </c>
      <c r="F13" s="6">
        <v>4.13</v>
      </c>
      <c r="G13" s="6">
        <v>2.1</v>
      </c>
    </row>
    <row r="14" spans="1:7" ht="15" customHeight="1" x14ac:dyDescent="0.3">
      <c r="A14" s="2" t="s">
        <v>99</v>
      </c>
      <c r="B14" s="2" t="s">
        <v>286</v>
      </c>
      <c r="C14" s="13">
        <v>969</v>
      </c>
      <c r="D14" s="13">
        <v>474</v>
      </c>
      <c r="E14" s="15">
        <v>4281.33</v>
      </c>
      <c r="F14" s="14">
        <v>4.42</v>
      </c>
      <c r="G14" s="14">
        <v>2</v>
      </c>
    </row>
    <row r="15" spans="1:7" ht="15" customHeight="1" x14ac:dyDescent="0.3">
      <c r="A15" s="3" t="s">
        <v>217</v>
      </c>
      <c r="B15" s="3" t="s">
        <v>286</v>
      </c>
      <c r="C15" s="4">
        <v>846</v>
      </c>
      <c r="D15" s="4">
        <v>451</v>
      </c>
      <c r="E15" s="5">
        <v>3722.54</v>
      </c>
      <c r="F15" s="6">
        <v>4.4000000000000004</v>
      </c>
      <c r="G15" s="6">
        <v>1.9</v>
      </c>
    </row>
    <row r="16" spans="1:7" ht="15" customHeight="1" x14ac:dyDescent="0.3">
      <c r="A16" s="2" t="s">
        <v>94</v>
      </c>
      <c r="B16" s="2" t="s">
        <v>286</v>
      </c>
      <c r="C16" s="13">
        <v>830</v>
      </c>
      <c r="D16" s="13">
        <v>447</v>
      </c>
      <c r="E16" s="15">
        <v>3417.72</v>
      </c>
      <c r="F16" s="14">
        <v>4.12</v>
      </c>
      <c r="G16" s="14">
        <v>1.9</v>
      </c>
    </row>
    <row r="17" spans="1:7" ht="15" customHeight="1" x14ac:dyDescent="0.3">
      <c r="A17" s="3" t="s">
        <v>97</v>
      </c>
      <c r="B17" s="3" t="s">
        <v>286</v>
      </c>
      <c r="C17" s="4">
        <v>940</v>
      </c>
      <c r="D17" s="4">
        <v>468</v>
      </c>
      <c r="E17" s="5">
        <v>4351.62</v>
      </c>
      <c r="F17" s="6">
        <v>4.63</v>
      </c>
      <c r="G17" s="6">
        <v>2</v>
      </c>
    </row>
    <row r="18" spans="1:7" ht="15" customHeight="1" x14ac:dyDescent="0.3">
      <c r="A18" s="2" t="s">
        <v>108</v>
      </c>
      <c r="B18" s="2" t="s">
        <v>286</v>
      </c>
      <c r="C18" s="13">
        <v>1101</v>
      </c>
      <c r="D18" s="13">
        <v>507</v>
      </c>
      <c r="E18" s="15">
        <v>4756.9799999999996</v>
      </c>
      <c r="F18" s="14">
        <v>4.32</v>
      </c>
      <c r="G18" s="14">
        <v>2.2000000000000002</v>
      </c>
    </row>
    <row r="19" spans="1:7" ht="15" customHeight="1" x14ac:dyDescent="0.3">
      <c r="A19" s="3" t="s">
        <v>214</v>
      </c>
      <c r="B19" s="3" t="s">
        <v>286</v>
      </c>
      <c r="C19" s="4">
        <v>1179</v>
      </c>
      <c r="D19" s="4">
        <v>519</v>
      </c>
      <c r="E19" s="5">
        <v>5314.21</v>
      </c>
      <c r="F19" s="6">
        <v>4.51</v>
      </c>
      <c r="G19" s="6">
        <v>2.2999999999999998</v>
      </c>
    </row>
    <row r="20" spans="1:7" ht="15" customHeight="1" x14ac:dyDescent="0.3">
      <c r="A20" s="2" t="s">
        <v>88</v>
      </c>
      <c r="B20" s="2" t="s">
        <v>286</v>
      </c>
      <c r="C20" s="13">
        <v>837</v>
      </c>
      <c r="D20" s="13">
        <v>442</v>
      </c>
      <c r="E20" s="15">
        <v>3549.64</v>
      </c>
      <c r="F20" s="14">
        <v>4.24</v>
      </c>
      <c r="G20" s="14">
        <v>1.9</v>
      </c>
    </row>
    <row r="22" spans="1:7" ht="15" customHeight="1" x14ac:dyDescent="0.3">
      <c r="A22" s="22" t="s">
        <v>57</v>
      </c>
      <c r="B22" s="22"/>
      <c r="C22" s="22"/>
    </row>
    <row r="23" spans="1:7" ht="15" customHeight="1" x14ac:dyDescent="0.3">
      <c r="A23" s="7" t="s">
        <v>58</v>
      </c>
      <c r="B23" s="7" t="s">
        <v>59</v>
      </c>
      <c r="C23" s="7" t="s">
        <v>125</v>
      </c>
    </row>
    <row r="24" spans="1:7" ht="15" customHeight="1" x14ac:dyDescent="0.3">
      <c r="A24" s="3" t="s">
        <v>65</v>
      </c>
      <c r="B24" s="3" t="s">
        <v>180</v>
      </c>
      <c r="C24" s="3" t="s">
        <v>287</v>
      </c>
    </row>
    <row r="25" spans="1:7" ht="23.25" customHeight="1" x14ac:dyDescent="0.3">
      <c r="A25" s="2" t="s">
        <v>288</v>
      </c>
      <c r="B25" s="2" t="s">
        <v>289</v>
      </c>
      <c r="C25" s="2" t="s">
        <v>290</v>
      </c>
    </row>
    <row r="27" spans="1:7" ht="18" customHeight="1" x14ac:dyDescent="0.3">
      <c r="A27" s="23" t="s">
        <v>68</v>
      </c>
      <c r="B27" s="23"/>
      <c r="C27" s="23"/>
      <c r="D27" s="23"/>
      <c r="E27" s="23"/>
      <c r="F27" s="23"/>
      <c r="G27" s="23"/>
    </row>
    <row r="28" spans="1:7" ht="39.75" customHeight="1" x14ac:dyDescent="0.3">
      <c r="A28" s="1" t="s">
        <v>69</v>
      </c>
      <c r="B28" s="24" t="s">
        <v>291</v>
      </c>
      <c r="C28" s="24"/>
      <c r="D28" s="24"/>
      <c r="E28" s="24"/>
      <c r="F28" s="24"/>
      <c r="G28" s="24"/>
    </row>
    <row r="29" spans="1:7" ht="39.75" customHeight="1" x14ac:dyDescent="0.3">
      <c r="A29" s="1" t="s">
        <v>71</v>
      </c>
      <c r="B29" s="18" t="s">
        <v>292</v>
      </c>
      <c r="C29" s="18"/>
      <c r="D29" s="18"/>
      <c r="E29" s="18"/>
      <c r="F29" s="18"/>
      <c r="G29" s="18"/>
    </row>
    <row r="30" spans="1:7" ht="39.75" customHeight="1" x14ac:dyDescent="0.3">
      <c r="A30" s="1" t="s">
        <v>73</v>
      </c>
      <c r="B30" s="19" t="s">
        <v>293</v>
      </c>
      <c r="C30" s="19"/>
      <c r="D30" s="19"/>
      <c r="E30" s="19"/>
      <c r="F30" s="19"/>
      <c r="G30" s="19"/>
    </row>
    <row r="33" spans="1:2" ht="17.399999999999999" x14ac:dyDescent="0.3">
      <c r="A33" s="17" t="s">
        <v>452</v>
      </c>
      <c r="B33" s="17"/>
    </row>
  </sheetData>
  <mergeCells count="8">
    <mergeCell ref="A33:B33"/>
    <mergeCell ref="B29:G29"/>
    <mergeCell ref="B30:G30"/>
    <mergeCell ref="A1:G1"/>
    <mergeCell ref="A3:G3"/>
    <mergeCell ref="A22:C22"/>
    <mergeCell ref="A27:G27"/>
    <mergeCell ref="B28:G28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-0.499984740745262"/>
  </sheetPr>
  <dimension ref="A1:I38"/>
  <sheetViews>
    <sheetView zoomScaleNormal="100" workbookViewId="0">
      <pane ySplit="1" topLeftCell="A2" activePane="bottomLeft" state="frozen"/>
      <selection pane="bottomLeft" activeCell="F43" sqref="F43"/>
    </sheetView>
  </sheetViews>
  <sheetFormatPr defaultColWidth="8.6640625" defaultRowHeight="14.4" x14ac:dyDescent="0.3"/>
  <cols>
    <col min="1" max="1" width="35" customWidth="1"/>
    <col min="3" max="3" width="24" customWidth="1"/>
    <col min="4" max="4" width="15" customWidth="1"/>
    <col min="5" max="5" width="13" customWidth="1"/>
    <col min="6" max="6" width="22" customWidth="1"/>
    <col min="7" max="7" width="10" customWidth="1"/>
    <col min="8" max="8" width="20" customWidth="1"/>
    <col min="9" max="9" width="17" customWidth="1"/>
  </cols>
  <sheetData>
    <row r="1" spans="1:9" ht="36" customHeight="1" x14ac:dyDescent="0.3">
      <c r="A1" s="20" t="s">
        <v>294</v>
      </c>
      <c r="B1" s="20"/>
      <c r="C1" s="20"/>
      <c r="D1" s="20"/>
      <c r="E1" s="20"/>
      <c r="F1" s="20"/>
      <c r="G1" s="20"/>
      <c r="H1" s="20"/>
      <c r="I1" s="20"/>
    </row>
    <row r="3" spans="1:9" ht="15" customHeight="1" x14ac:dyDescent="0.3">
      <c r="A3" s="21" t="s">
        <v>75</v>
      </c>
      <c r="B3" s="21"/>
      <c r="C3" s="21"/>
      <c r="D3" s="21"/>
      <c r="E3" s="21"/>
      <c r="F3" s="21"/>
      <c r="G3" s="21"/>
      <c r="H3" s="21"/>
      <c r="I3" s="21"/>
    </row>
    <row r="4" spans="1:9" ht="15" customHeight="1" x14ac:dyDescent="0.3">
      <c r="A4" s="1" t="s">
        <v>295</v>
      </c>
      <c r="B4" s="1" t="s">
        <v>296</v>
      </c>
      <c r="C4" s="1" t="s">
        <v>297</v>
      </c>
      <c r="D4" s="1" t="s">
        <v>268</v>
      </c>
      <c r="E4" s="1" t="s">
        <v>298</v>
      </c>
      <c r="F4" s="1" t="s">
        <v>299</v>
      </c>
      <c r="G4" s="1" t="s">
        <v>300</v>
      </c>
      <c r="H4" s="1" t="s">
        <v>301</v>
      </c>
      <c r="I4" s="1" t="s">
        <v>302</v>
      </c>
    </row>
    <row r="5" spans="1:9" ht="15" customHeight="1" x14ac:dyDescent="0.3">
      <c r="A5" s="3" t="s">
        <v>303</v>
      </c>
      <c r="B5" s="3" t="s">
        <v>304</v>
      </c>
      <c r="C5" s="3" t="s">
        <v>305</v>
      </c>
      <c r="D5" s="4">
        <v>45</v>
      </c>
      <c r="E5" s="5">
        <v>221.55</v>
      </c>
      <c r="F5" s="6">
        <v>4.92</v>
      </c>
      <c r="G5" s="4" t="b">
        <f>TRUE()</f>
        <v>1</v>
      </c>
      <c r="H5" s="3" t="s">
        <v>102</v>
      </c>
      <c r="I5" s="3" t="s">
        <v>306</v>
      </c>
    </row>
    <row r="6" spans="1:9" ht="15" customHeight="1" x14ac:dyDescent="0.3">
      <c r="A6" s="2" t="s">
        <v>307</v>
      </c>
      <c r="B6" s="2" t="s">
        <v>308</v>
      </c>
      <c r="C6" s="2" t="s">
        <v>309</v>
      </c>
      <c r="D6" s="13">
        <v>46</v>
      </c>
      <c r="E6" s="15">
        <v>216.54</v>
      </c>
      <c r="F6" s="14">
        <v>4.71</v>
      </c>
      <c r="G6" s="13" t="b">
        <f>TRUE()</f>
        <v>1</v>
      </c>
      <c r="H6" s="2" t="s">
        <v>108</v>
      </c>
      <c r="I6" s="2" t="s">
        <v>306</v>
      </c>
    </row>
    <row r="7" spans="1:9" ht="15" customHeight="1" x14ac:dyDescent="0.3">
      <c r="A7" s="3" t="s">
        <v>310</v>
      </c>
      <c r="B7" s="3" t="s">
        <v>311</v>
      </c>
      <c r="C7" s="3" t="s">
        <v>312</v>
      </c>
      <c r="D7" s="4">
        <v>42</v>
      </c>
      <c r="E7" s="5">
        <v>195.58</v>
      </c>
      <c r="F7" s="6">
        <v>4.66</v>
      </c>
      <c r="G7" s="4" t="b">
        <f>TRUE()</f>
        <v>1</v>
      </c>
      <c r="H7" s="3" t="s">
        <v>119</v>
      </c>
      <c r="I7" s="3" t="s">
        <v>306</v>
      </c>
    </row>
    <row r="8" spans="1:9" ht="15" customHeight="1" x14ac:dyDescent="0.3">
      <c r="A8" s="2" t="s">
        <v>313</v>
      </c>
      <c r="B8" s="2" t="s">
        <v>314</v>
      </c>
      <c r="C8" s="2" t="s">
        <v>315</v>
      </c>
      <c r="D8" s="13">
        <v>39</v>
      </c>
      <c r="E8" s="15">
        <v>194.61</v>
      </c>
      <c r="F8" s="14">
        <v>4.99</v>
      </c>
      <c r="G8" s="13" t="b">
        <f>TRUE()</f>
        <v>1</v>
      </c>
      <c r="H8" s="2" t="s">
        <v>104</v>
      </c>
      <c r="I8" s="2" t="s">
        <v>306</v>
      </c>
    </row>
    <row r="9" spans="1:9" ht="15" customHeight="1" x14ac:dyDescent="0.3">
      <c r="A9" s="3" t="s">
        <v>316</v>
      </c>
      <c r="B9" s="3" t="s">
        <v>317</v>
      </c>
      <c r="C9" s="3" t="s">
        <v>318</v>
      </c>
      <c r="D9" s="4">
        <v>39</v>
      </c>
      <c r="E9" s="5">
        <v>194.61</v>
      </c>
      <c r="F9" s="6">
        <v>4.99</v>
      </c>
      <c r="G9" s="4" t="b">
        <f>TRUE()</f>
        <v>1</v>
      </c>
      <c r="H9" s="3" t="s">
        <v>99</v>
      </c>
      <c r="I9" s="3" t="s">
        <v>306</v>
      </c>
    </row>
    <row r="10" spans="1:9" ht="15" customHeight="1" x14ac:dyDescent="0.3">
      <c r="A10" s="2" t="s">
        <v>319</v>
      </c>
      <c r="B10" s="2" t="s">
        <v>320</v>
      </c>
      <c r="C10" s="2" t="s">
        <v>321</v>
      </c>
      <c r="D10" s="13">
        <v>38</v>
      </c>
      <c r="E10" s="15">
        <v>186.62</v>
      </c>
      <c r="F10" s="14">
        <v>4.91</v>
      </c>
      <c r="G10" s="13" t="b">
        <f>TRUE()</f>
        <v>1</v>
      </c>
      <c r="H10" s="2" t="s">
        <v>110</v>
      </c>
      <c r="I10" s="2" t="s">
        <v>306</v>
      </c>
    </row>
    <row r="11" spans="1:9" ht="15" customHeight="1" x14ac:dyDescent="0.3">
      <c r="A11" s="3" t="s">
        <v>322</v>
      </c>
      <c r="B11" s="3" t="s">
        <v>323</v>
      </c>
      <c r="C11" s="3" t="s">
        <v>324</v>
      </c>
      <c r="D11" s="4">
        <v>40</v>
      </c>
      <c r="E11" s="5">
        <v>177.6</v>
      </c>
      <c r="F11" s="6">
        <v>4.4400000000000004</v>
      </c>
      <c r="G11" s="4" t="b">
        <f>TRUE()</f>
        <v>1</v>
      </c>
      <c r="H11" s="3" t="s">
        <v>99</v>
      </c>
      <c r="I11" s="3" t="s">
        <v>306</v>
      </c>
    </row>
    <row r="12" spans="1:9" ht="15" customHeight="1" x14ac:dyDescent="0.3">
      <c r="A12" s="2" t="s">
        <v>325</v>
      </c>
      <c r="B12" s="2" t="s">
        <v>326</v>
      </c>
      <c r="C12" s="2" t="s">
        <v>327</v>
      </c>
      <c r="D12" s="13">
        <v>39</v>
      </c>
      <c r="E12" s="15">
        <v>175.61</v>
      </c>
      <c r="F12" s="14">
        <v>4.5</v>
      </c>
      <c r="G12" s="13" t="b">
        <f>TRUE()</f>
        <v>1</v>
      </c>
      <c r="H12" s="2" t="s">
        <v>102</v>
      </c>
      <c r="I12" s="2" t="s">
        <v>306</v>
      </c>
    </row>
    <row r="13" spans="1:9" ht="15" customHeight="1" x14ac:dyDescent="0.3">
      <c r="A13" s="3" t="s">
        <v>328</v>
      </c>
      <c r="B13" s="3" t="s">
        <v>329</v>
      </c>
      <c r="C13" s="3" t="s">
        <v>330</v>
      </c>
      <c r="D13" s="4">
        <v>42</v>
      </c>
      <c r="E13" s="5">
        <v>175.58</v>
      </c>
      <c r="F13" s="6">
        <v>4.18</v>
      </c>
      <c r="G13" s="4" t="b">
        <f>TRUE()</f>
        <v>1</v>
      </c>
      <c r="H13" s="3" t="s">
        <v>91</v>
      </c>
      <c r="I13" s="3" t="s">
        <v>306</v>
      </c>
    </row>
    <row r="14" spans="1:9" ht="15" customHeight="1" x14ac:dyDescent="0.3">
      <c r="A14" s="2" t="s">
        <v>331</v>
      </c>
      <c r="B14" s="2" t="s">
        <v>332</v>
      </c>
      <c r="C14" s="2" t="s">
        <v>305</v>
      </c>
      <c r="D14" s="13">
        <v>34</v>
      </c>
      <c r="E14" s="15">
        <v>174.66</v>
      </c>
      <c r="F14" s="14">
        <v>5.14</v>
      </c>
      <c r="G14" s="13" t="b">
        <f>TRUE()</f>
        <v>1</v>
      </c>
      <c r="H14" s="2" t="s">
        <v>110</v>
      </c>
      <c r="I14" s="2" t="s">
        <v>306</v>
      </c>
    </row>
    <row r="15" spans="1:9" ht="15" customHeight="1" x14ac:dyDescent="0.3">
      <c r="A15" s="3" t="s">
        <v>333</v>
      </c>
      <c r="B15" s="3" t="s">
        <v>211</v>
      </c>
      <c r="C15" s="3" t="s">
        <v>208</v>
      </c>
      <c r="D15" s="4">
        <v>37</v>
      </c>
      <c r="E15" s="5">
        <v>173.63</v>
      </c>
      <c r="F15" s="6">
        <v>4.6900000000000004</v>
      </c>
      <c r="G15" s="4" t="b">
        <f>TRUE()</f>
        <v>1</v>
      </c>
      <c r="H15" s="3" t="s">
        <v>102</v>
      </c>
      <c r="I15" s="3" t="s">
        <v>306</v>
      </c>
    </row>
    <row r="16" spans="1:9" ht="15" customHeight="1" x14ac:dyDescent="0.3">
      <c r="A16" s="2" t="s">
        <v>334</v>
      </c>
      <c r="B16" s="2" t="s">
        <v>335</v>
      </c>
      <c r="C16" s="2" t="s">
        <v>336</v>
      </c>
      <c r="D16" s="13">
        <v>35</v>
      </c>
      <c r="E16" s="15">
        <v>169.65</v>
      </c>
      <c r="F16" s="14">
        <v>4.8499999999999996</v>
      </c>
      <c r="G16" s="13" t="b">
        <f>TRUE()</f>
        <v>1</v>
      </c>
      <c r="H16" s="2" t="s">
        <v>119</v>
      </c>
      <c r="I16" s="2" t="s">
        <v>306</v>
      </c>
    </row>
    <row r="17" spans="1:9" ht="15" customHeight="1" x14ac:dyDescent="0.3">
      <c r="A17" s="3" t="s">
        <v>337</v>
      </c>
      <c r="B17" s="3" t="s">
        <v>338</v>
      </c>
      <c r="C17" s="3" t="s">
        <v>327</v>
      </c>
      <c r="D17" s="4">
        <v>32</v>
      </c>
      <c r="E17" s="5">
        <v>168.68</v>
      </c>
      <c r="F17" s="6">
        <v>5.27</v>
      </c>
      <c r="G17" s="4" t="b">
        <f>TRUE()</f>
        <v>1</v>
      </c>
      <c r="H17" s="3" t="s">
        <v>214</v>
      </c>
      <c r="I17" s="3" t="s">
        <v>306</v>
      </c>
    </row>
    <row r="18" spans="1:9" ht="15" customHeight="1" x14ac:dyDescent="0.3">
      <c r="A18" s="2" t="s">
        <v>339</v>
      </c>
      <c r="B18" s="2" t="s">
        <v>340</v>
      </c>
      <c r="C18" s="2" t="s">
        <v>330</v>
      </c>
      <c r="D18" s="13">
        <v>33</v>
      </c>
      <c r="E18" s="15">
        <v>167.67</v>
      </c>
      <c r="F18" s="14">
        <v>5.08</v>
      </c>
      <c r="G18" s="13" t="b">
        <f>TRUE()</f>
        <v>1</v>
      </c>
      <c r="H18" s="2" t="s">
        <v>99</v>
      </c>
      <c r="I18" s="2" t="s">
        <v>306</v>
      </c>
    </row>
    <row r="19" spans="1:9" ht="15" customHeight="1" x14ac:dyDescent="0.3">
      <c r="A19" s="3" t="s">
        <v>341</v>
      </c>
      <c r="B19" s="3" t="s">
        <v>342</v>
      </c>
      <c r="C19" s="3" t="s">
        <v>255</v>
      </c>
      <c r="D19" s="4">
        <v>38</v>
      </c>
      <c r="E19" s="5">
        <v>167.62</v>
      </c>
      <c r="F19" s="6">
        <v>4.41</v>
      </c>
      <c r="G19" s="4" t="b">
        <f>TRUE()</f>
        <v>1</v>
      </c>
      <c r="H19" s="3" t="s">
        <v>110</v>
      </c>
      <c r="I19" s="3" t="s">
        <v>306</v>
      </c>
    </row>
    <row r="20" spans="1:9" ht="15" customHeight="1" x14ac:dyDescent="0.3">
      <c r="A20" s="2" t="s">
        <v>343</v>
      </c>
      <c r="B20" s="2" t="s">
        <v>344</v>
      </c>
      <c r="C20" s="2" t="s">
        <v>327</v>
      </c>
      <c r="D20" s="13">
        <v>35</v>
      </c>
      <c r="E20" s="15">
        <v>166.65</v>
      </c>
      <c r="F20" s="14">
        <v>4.76</v>
      </c>
      <c r="G20" s="13" t="b">
        <f>TRUE()</f>
        <v>1</v>
      </c>
      <c r="H20" s="2" t="s">
        <v>108</v>
      </c>
      <c r="I20" s="2" t="s">
        <v>306</v>
      </c>
    </row>
    <row r="21" spans="1:9" ht="15" customHeight="1" x14ac:dyDescent="0.3">
      <c r="A21" s="3" t="s">
        <v>345</v>
      </c>
      <c r="B21" s="3" t="s">
        <v>346</v>
      </c>
      <c r="C21" s="3" t="s">
        <v>347</v>
      </c>
      <c r="D21" s="4">
        <v>38</v>
      </c>
      <c r="E21" s="5">
        <v>162.62</v>
      </c>
      <c r="F21" s="6">
        <v>4.28</v>
      </c>
      <c r="G21" s="4" t="b">
        <f>TRUE()</f>
        <v>1</v>
      </c>
      <c r="H21" s="3" t="s">
        <v>97</v>
      </c>
      <c r="I21" s="3" t="s">
        <v>306</v>
      </c>
    </row>
    <row r="22" spans="1:9" ht="15" customHeight="1" x14ac:dyDescent="0.3">
      <c r="A22" s="2" t="s">
        <v>348</v>
      </c>
      <c r="B22" s="2" t="s">
        <v>349</v>
      </c>
      <c r="C22" s="2" t="s">
        <v>327</v>
      </c>
      <c r="D22" s="13">
        <v>32</v>
      </c>
      <c r="E22" s="15">
        <v>161.68</v>
      </c>
      <c r="F22" s="14">
        <v>5.05</v>
      </c>
      <c r="G22" s="13" t="b">
        <f>TRUE()</f>
        <v>1</v>
      </c>
      <c r="H22" s="2" t="s">
        <v>224</v>
      </c>
      <c r="I22" s="2" t="s">
        <v>306</v>
      </c>
    </row>
    <row r="23" spans="1:9" ht="15" customHeight="1" x14ac:dyDescent="0.3">
      <c r="A23" s="3" t="s">
        <v>350</v>
      </c>
      <c r="B23" s="3" t="s">
        <v>351</v>
      </c>
      <c r="C23" s="3" t="s">
        <v>330</v>
      </c>
      <c r="D23" s="4">
        <v>35</v>
      </c>
      <c r="E23" s="5">
        <v>161.65</v>
      </c>
      <c r="F23" s="6">
        <v>4.62</v>
      </c>
      <c r="G23" s="4" t="b">
        <f>TRUE()</f>
        <v>1</v>
      </c>
      <c r="H23" s="3" t="s">
        <v>102</v>
      </c>
      <c r="I23" s="3" t="s">
        <v>306</v>
      </c>
    </row>
    <row r="24" spans="1:9" ht="15" customHeight="1" x14ac:dyDescent="0.3">
      <c r="A24" s="2" t="s">
        <v>352</v>
      </c>
      <c r="B24" s="2" t="s">
        <v>353</v>
      </c>
      <c r="C24" s="2" t="s">
        <v>354</v>
      </c>
      <c r="D24" s="13">
        <v>32</v>
      </c>
      <c r="E24" s="15">
        <v>160.68</v>
      </c>
      <c r="F24" s="14">
        <v>5.0199999999999996</v>
      </c>
      <c r="G24" s="13" t="b">
        <f>TRUE()</f>
        <v>1</v>
      </c>
      <c r="H24" s="2" t="s">
        <v>224</v>
      </c>
      <c r="I24" s="2" t="s">
        <v>306</v>
      </c>
    </row>
    <row r="26" spans="1:9" ht="15" customHeight="1" x14ac:dyDescent="0.3">
      <c r="A26" s="22" t="s">
        <v>57</v>
      </c>
      <c r="B26" s="22"/>
      <c r="C26" s="22"/>
    </row>
    <row r="27" spans="1:9" ht="15" customHeight="1" x14ac:dyDescent="0.3">
      <c r="A27" s="7" t="s">
        <v>58</v>
      </c>
      <c r="B27" s="7" t="s">
        <v>59</v>
      </c>
      <c r="C27" s="7" t="s">
        <v>125</v>
      </c>
    </row>
    <row r="28" spans="1:9" ht="15" customHeight="1" x14ac:dyDescent="0.3">
      <c r="A28" s="3" t="s">
        <v>355</v>
      </c>
      <c r="B28" s="3" t="s">
        <v>356</v>
      </c>
      <c r="C28" s="3" t="s">
        <v>357</v>
      </c>
    </row>
    <row r="29" spans="1:9" ht="15" customHeight="1" x14ac:dyDescent="0.3">
      <c r="A29" s="2" t="s">
        <v>358</v>
      </c>
      <c r="B29" s="2" t="s">
        <v>359</v>
      </c>
      <c r="C29" s="2" t="s">
        <v>360</v>
      </c>
    </row>
    <row r="31" spans="1:9" ht="18" customHeight="1" x14ac:dyDescent="0.3">
      <c r="A31" s="23" t="s">
        <v>68</v>
      </c>
      <c r="B31" s="23"/>
      <c r="C31" s="23"/>
      <c r="D31" s="23"/>
      <c r="E31" s="23"/>
      <c r="F31" s="23"/>
      <c r="G31" s="23"/>
      <c r="H31" s="23"/>
      <c r="I31" s="23"/>
    </row>
    <row r="32" spans="1:9" ht="39.75" customHeight="1" x14ac:dyDescent="0.3">
      <c r="A32" s="1" t="s">
        <v>69</v>
      </c>
      <c r="B32" s="24" t="s">
        <v>361</v>
      </c>
      <c r="C32" s="24"/>
      <c r="D32" s="24"/>
      <c r="E32" s="24"/>
      <c r="F32" s="24"/>
      <c r="G32" s="24"/>
      <c r="H32" s="24"/>
      <c r="I32" s="24"/>
    </row>
    <row r="33" spans="1:9" ht="39.75" customHeight="1" x14ac:dyDescent="0.3">
      <c r="A33" s="1" t="s">
        <v>71</v>
      </c>
      <c r="B33" s="18" t="s">
        <v>362</v>
      </c>
      <c r="C33" s="18"/>
      <c r="D33" s="18"/>
      <c r="E33" s="18"/>
      <c r="F33" s="18"/>
      <c r="G33" s="18"/>
      <c r="H33" s="18"/>
      <c r="I33" s="18"/>
    </row>
    <row r="34" spans="1:9" ht="39.75" customHeight="1" x14ac:dyDescent="0.3">
      <c r="A34" s="1" t="s">
        <v>73</v>
      </c>
      <c r="B34" s="19" t="s">
        <v>363</v>
      </c>
      <c r="C34" s="19"/>
      <c r="D34" s="19"/>
      <c r="E34" s="19"/>
      <c r="F34" s="19"/>
      <c r="G34" s="19"/>
      <c r="H34" s="19"/>
      <c r="I34" s="19"/>
    </row>
    <row r="38" spans="1:9" ht="17.399999999999999" x14ac:dyDescent="0.3">
      <c r="A38" s="17" t="s">
        <v>452</v>
      </c>
      <c r="B38" s="17"/>
    </row>
  </sheetData>
  <mergeCells count="8">
    <mergeCell ref="A38:B38"/>
    <mergeCell ref="B33:I33"/>
    <mergeCell ref="B34:I34"/>
    <mergeCell ref="A1:I1"/>
    <mergeCell ref="A3:I3"/>
    <mergeCell ref="A26:C26"/>
    <mergeCell ref="A31:I31"/>
    <mergeCell ref="B32:I3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-0.499984740745262"/>
  </sheetPr>
  <dimension ref="A1:H38"/>
  <sheetViews>
    <sheetView zoomScaleNormal="100" workbookViewId="0">
      <pane ySplit="1" topLeftCell="A2" activePane="bottomLeft" state="frozen"/>
      <selection pane="bottomLeft" activeCell="C48" sqref="C48"/>
    </sheetView>
  </sheetViews>
  <sheetFormatPr defaultColWidth="8.6640625" defaultRowHeight="14.4" x14ac:dyDescent="0.3"/>
  <cols>
    <col min="1" max="1" width="23.6640625" customWidth="1"/>
    <col min="2" max="2" width="52" customWidth="1"/>
    <col min="3" max="3" width="31.109375" customWidth="1"/>
    <col min="4" max="4" width="14" customWidth="1"/>
    <col min="5" max="5" width="23.109375" customWidth="1"/>
    <col min="6" max="6" width="20.5546875" customWidth="1"/>
    <col min="7" max="7" width="25" customWidth="1"/>
    <col min="8" max="8" width="19" customWidth="1"/>
  </cols>
  <sheetData>
    <row r="1" spans="1:8" ht="36" customHeight="1" x14ac:dyDescent="0.3">
      <c r="A1" s="20" t="s">
        <v>364</v>
      </c>
      <c r="B1" s="20"/>
      <c r="C1" s="20"/>
      <c r="D1" s="20"/>
      <c r="E1" s="20"/>
      <c r="F1" s="20"/>
      <c r="G1" s="20"/>
      <c r="H1" s="20"/>
    </row>
    <row r="3" spans="1:8" ht="15" customHeight="1" x14ac:dyDescent="0.3">
      <c r="A3" s="31" t="s">
        <v>75</v>
      </c>
      <c r="B3" s="31"/>
      <c r="C3" s="31"/>
      <c r="D3" s="31"/>
      <c r="E3" s="31"/>
      <c r="F3" s="31"/>
      <c r="G3" s="31"/>
      <c r="H3" s="31"/>
    </row>
    <row r="4" spans="1:8" ht="15" customHeight="1" x14ac:dyDescent="0.3">
      <c r="A4" s="1" t="s">
        <v>365</v>
      </c>
      <c r="B4" s="1" t="s">
        <v>282</v>
      </c>
      <c r="C4" s="1" t="s">
        <v>366</v>
      </c>
      <c r="D4" s="1" t="s">
        <v>268</v>
      </c>
      <c r="E4" s="1" t="s">
        <v>367</v>
      </c>
      <c r="F4" s="1" t="s">
        <v>368</v>
      </c>
      <c r="G4" s="1" t="s">
        <v>369</v>
      </c>
      <c r="H4" s="1" t="s">
        <v>370</v>
      </c>
    </row>
    <row r="5" spans="1:8" ht="15" customHeight="1" x14ac:dyDescent="0.3">
      <c r="A5" s="3" t="s">
        <v>371</v>
      </c>
      <c r="B5" s="3" t="s">
        <v>217</v>
      </c>
      <c r="C5" s="6">
        <v>3</v>
      </c>
      <c r="D5" s="4">
        <v>7</v>
      </c>
      <c r="E5" s="4">
        <v>7</v>
      </c>
      <c r="F5" s="6">
        <v>100</v>
      </c>
      <c r="G5" s="4">
        <v>2.33</v>
      </c>
      <c r="H5" s="5" t="s">
        <v>372</v>
      </c>
    </row>
    <row r="6" spans="1:8" ht="15" customHeight="1" x14ac:dyDescent="0.3">
      <c r="A6" s="2" t="s">
        <v>373</v>
      </c>
      <c r="B6" s="2" t="s">
        <v>104</v>
      </c>
      <c r="C6" s="14">
        <v>4</v>
      </c>
      <c r="D6" s="13">
        <v>12</v>
      </c>
      <c r="E6" s="13">
        <v>12</v>
      </c>
      <c r="F6" s="14">
        <v>100</v>
      </c>
      <c r="G6" s="13">
        <v>3</v>
      </c>
      <c r="H6" s="15" t="s">
        <v>372</v>
      </c>
    </row>
    <row r="7" spans="1:8" ht="15" customHeight="1" x14ac:dyDescent="0.3">
      <c r="A7" s="3" t="s">
        <v>374</v>
      </c>
      <c r="B7" s="3" t="s">
        <v>217</v>
      </c>
      <c r="C7" s="6">
        <v>7</v>
      </c>
      <c r="D7" s="4">
        <v>23</v>
      </c>
      <c r="E7" s="4">
        <v>23</v>
      </c>
      <c r="F7" s="6">
        <v>100</v>
      </c>
      <c r="G7" s="4">
        <v>3.29</v>
      </c>
      <c r="H7" s="5" t="s">
        <v>375</v>
      </c>
    </row>
    <row r="8" spans="1:8" ht="15" customHeight="1" x14ac:dyDescent="0.3">
      <c r="A8" s="2" t="s">
        <v>376</v>
      </c>
      <c r="B8" s="2" t="s">
        <v>110</v>
      </c>
      <c r="C8" s="14">
        <v>3</v>
      </c>
      <c r="D8" s="13">
        <v>12</v>
      </c>
      <c r="E8" s="13">
        <v>12</v>
      </c>
      <c r="F8" s="14">
        <v>100</v>
      </c>
      <c r="G8" s="13">
        <v>4</v>
      </c>
      <c r="H8" s="15" t="s">
        <v>372</v>
      </c>
    </row>
    <row r="9" spans="1:8" ht="15" customHeight="1" x14ac:dyDescent="0.3">
      <c r="A9" s="3" t="s">
        <v>377</v>
      </c>
      <c r="B9" s="3" t="s">
        <v>91</v>
      </c>
      <c r="C9" s="6">
        <v>6</v>
      </c>
      <c r="D9" s="4">
        <v>21</v>
      </c>
      <c r="E9" s="4">
        <v>21</v>
      </c>
      <c r="F9" s="6">
        <v>100</v>
      </c>
      <c r="G9" s="4">
        <v>3.5</v>
      </c>
      <c r="H9" s="5" t="s">
        <v>375</v>
      </c>
    </row>
    <row r="10" spans="1:8" ht="15" customHeight="1" x14ac:dyDescent="0.3">
      <c r="A10" s="2" t="s">
        <v>378</v>
      </c>
      <c r="B10" s="2" t="s">
        <v>106</v>
      </c>
      <c r="C10" s="14">
        <v>5</v>
      </c>
      <c r="D10" s="13">
        <v>15</v>
      </c>
      <c r="E10" s="13">
        <v>15</v>
      </c>
      <c r="F10" s="14">
        <v>100</v>
      </c>
      <c r="G10" s="13">
        <v>3</v>
      </c>
      <c r="H10" s="15" t="s">
        <v>375</v>
      </c>
    </row>
    <row r="11" spans="1:8" ht="15" customHeight="1" x14ac:dyDescent="0.3">
      <c r="A11" s="3" t="s">
        <v>379</v>
      </c>
      <c r="B11" s="3" t="s">
        <v>217</v>
      </c>
      <c r="C11" s="6">
        <v>4</v>
      </c>
      <c r="D11" s="4">
        <v>18</v>
      </c>
      <c r="E11" s="4">
        <v>18</v>
      </c>
      <c r="F11" s="6">
        <v>100</v>
      </c>
      <c r="G11" s="4">
        <v>4.5</v>
      </c>
      <c r="H11" s="5" t="s">
        <v>372</v>
      </c>
    </row>
    <row r="12" spans="1:8" ht="15" customHeight="1" x14ac:dyDescent="0.3">
      <c r="A12" s="2" t="s">
        <v>380</v>
      </c>
      <c r="B12" s="2" t="s">
        <v>217</v>
      </c>
      <c r="C12" s="14">
        <v>5</v>
      </c>
      <c r="D12" s="13">
        <v>12</v>
      </c>
      <c r="E12" s="13">
        <v>12</v>
      </c>
      <c r="F12" s="14">
        <v>100</v>
      </c>
      <c r="G12" s="13">
        <v>2.4</v>
      </c>
      <c r="H12" s="15" t="s">
        <v>375</v>
      </c>
    </row>
    <row r="13" spans="1:8" ht="15" customHeight="1" x14ac:dyDescent="0.3">
      <c r="A13" s="3" t="s">
        <v>381</v>
      </c>
      <c r="B13" s="3" t="s">
        <v>214</v>
      </c>
      <c r="C13" s="6">
        <v>7</v>
      </c>
      <c r="D13" s="4">
        <v>23</v>
      </c>
      <c r="E13" s="4">
        <v>23</v>
      </c>
      <c r="F13" s="6">
        <v>100</v>
      </c>
      <c r="G13" s="4">
        <v>3.29</v>
      </c>
      <c r="H13" s="5" t="s">
        <v>375</v>
      </c>
    </row>
    <row r="14" spans="1:8" ht="15" customHeight="1" x14ac:dyDescent="0.3">
      <c r="A14" s="2" t="s">
        <v>382</v>
      </c>
      <c r="B14" s="2" t="s">
        <v>91</v>
      </c>
      <c r="C14" s="14">
        <v>7</v>
      </c>
      <c r="D14" s="13">
        <v>24</v>
      </c>
      <c r="E14" s="13">
        <v>24</v>
      </c>
      <c r="F14" s="14">
        <v>100</v>
      </c>
      <c r="G14" s="13">
        <v>3.43</v>
      </c>
      <c r="H14" s="15" t="s">
        <v>375</v>
      </c>
    </row>
    <row r="15" spans="1:8" ht="15" customHeight="1" x14ac:dyDescent="0.3">
      <c r="A15" s="3" t="s">
        <v>383</v>
      </c>
      <c r="B15" s="3" t="s">
        <v>94</v>
      </c>
      <c r="C15" s="6">
        <v>7</v>
      </c>
      <c r="D15" s="4">
        <v>26</v>
      </c>
      <c r="E15" s="4">
        <v>26</v>
      </c>
      <c r="F15" s="6">
        <v>100</v>
      </c>
      <c r="G15" s="4">
        <v>3.71</v>
      </c>
      <c r="H15" s="5" t="s">
        <v>375</v>
      </c>
    </row>
    <row r="16" spans="1:8" ht="15" customHeight="1" x14ac:dyDescent="0.3">
      <c r="A16" s="2" t="s">
        <v>384</v>
      </c>
      <c r="B16" s="2" t="s">
        <v>217</v>
      </c>
      <c r="C16" s="14">
        <v>4</v>
      </c>
      <c r="D16" s="13">
        <v>9</v>
      </c>
      <c r="E16" s="13">
        <v>9</v>
      </c>
      <c r="F16" s="14">
        <v>100</v>
      </c>
      <c r="G16" s="13">
        <v>2.25</v>
      </c>
      <c r="H16" s="15" t="s">
        <v>372</v>
      </c>
    </row>
    <row r="17" spans="1:8" ht="15" customHeight="1" x14ac:dyDescent="0.3">
      <c r="A17" s="3" t="s">
        <v>385</v>
      </c>
      <c r="B17" s="3" t="s">
        <v>91</v>
      </c>
      <c r="C17" s="6">
        <v>6</v>
      </c>
      <c r="D17" s="4">
        <v>22</v>
      </c>
      <c r="E17" s="4">
        <v>22</v>
      </c>
      <c r="F17" s="6">
        <v>100</v>
      </c>
      <c r="G17" s="4">
        <v>3.67</v>
      </c>
      <c r="H17" s="5" t="s">
        <v>375</v>
      </c>
    </row>
    <row r="18" spans="1:8" ht="15" customHeight="1" x14ac:dyDescent="0.3">
      <c r="A18" s="2" t="s">
        <v>386</v>
      </c>
      <c r="B18" s="2" t="s">
        <v>91</v>
      </c>
      <c r="C18" s="14">
        <v>4</v>
      </c>
      <c r="D18" s="13">
        <v>14</v>
      </c>
      <c r="E18" s="13">
        <v>14</v>
      </c>
      <c r="F18" s="14">
        <v>100</v>
      </c>
      <c r="G18" s="13">
        <v>3.5</v>
      </c>
      <c r="H18" s="15" t="s">
        <v>372</v>
      </c>
    </row>
    <row r="19" spans="1:8" ht="15" customHeight="1" x14ac:dyDescent="0.3">
      <c r="A19" s="3" t="s">
        <v>387</v>
      </c>
      <c r="B19" s="3" t="s">
        <v>94</v>
      </c>
      <c r="C19" s="6">
        <v>6</v>
      </c>
      <c r="D19" s="4">
        <v>18</v>
      </c>
      <c r="E19" s="4">
        <v>18</v>
      </c>
      <c r="F19" s="6">
        <v>100</v>
      </c>
      <c r="G19" s="4">
        <v>3</v>
      </c>
      <c r="H19" s="5" t="s">
        <v>375</v>
      </c>
    </row>
    <row r="20" spans="1:8" ht="15" customHeight="1" x14ac:dyDescent="0.3">
      <c r="A20" s="2" t="s">
        <v>388</v>
      </c>
      <c r="B20" s="2" t="s">
        <v>102</v>
      </c>
      <c r="C20" s="14">
        <v>6</v>
      </c>
      <c r="D20" s="13">
        <v>22</v>
      </c>
      <c r="E20" s="13">
        <v>22</v>
      </c>
      <c r="F20" s="14">
        <v>100</v>
      </c>
      <c r="G20" s="13">
        <v>3.67</v>
      </c>
      <c r="H20" s="15" t="s">
        <v>375</v>
      </c>
    </row>
    <row r="21" spans="1:8" ht="15" customHeight="1" x14ac:dyDescent="0.3">
      <c r="A21" s="3" t="s">
        <v>389</v>
      </c>
      <c r="B21" s="3" t="s">
        <v>224</v>
      </c>
      <c r="C21" s="6">
        <v>6</v>
      </c>
      <c r="D21" s="4">
        <v>21</v>
      </c>
      <c r="E21" s="4">
        <v>21</v>
      </c>
      <c r="F21" s="6">
        <v>100</v>
      </c>
      <c r="G21" s="4">
        <v>3.5</v>
      </c>
      <c r="H21" s="5" t="s">
        <v>375</v>
      </c>
    </row>
    <row r="22" spans="1:8" ht="15" customHeight="1" x14ac:dyDescent="0.3">
      <c r="A22" s="2" t="s">
        <v>390</v>
      </c>
      <c r="B22" s="2" t="s">
        <v>94</v>
      </c>
      <c r="C22" s="14">
        <v>3</v>
      </c>
      <c r="D22" s="13">
        <v>10</v>
      </c>
      <c r="E22" s="13">
        <v>10</v>
      </c>
      <c r="F22" s="14">
        <v>100</v>
      </c>
      <c r="G22" s="13">
        <v>3.33</v>
      </c>
      <c r="H22" s="15" t="s">
        <v>372</v>
      </c>
    </row>
    <row r="23" spans="1:8" ht="15" customHeight="1" x14ac:dyDescent="0.3">
      <c r="A23" s="3" t="s">
        <v>391</v>
      </c>
      <c r="B23" s="3" t="s">
        <v>224</v>
      </c>
      <c r="C23" s="6">
        <v>6</v>
      </c>
      <c r="D23" s="4">
        <v>22</v>
      </c>
      <c r="E23" s="4">
        <v>22</v>
      </c>
      <c r="F23" s="6">
        <v>100</v>
      </c>
      <c r="G23" s="4">
        <v>3.67</v>
      </c>
      <c r="H23" s="5" t="s">
        <v>375</v>
      </c>
    </row>
    <row r="24" spans="1:8" ht="15" customHeight="1" x14ac:dyDescent="0.3">
      <c r="A24" s="2" t="s">
        <v>392</v>
      </c>
      <c r="B24" s="2" t="s">
        <v>104</v>
      </c>
      <c r="C24" s="14">
        <v>8</v>
      </c>
      <c r="D24" s="13">
        <v>23</v>
      </c>
      <c r="E24" s="13">
        <v>23</v>
      </c>
      <c r="F24" s="14">
        <v>100</v>
      </c>
      <c r="G24" s="13">
        <v>2.88</v>
      </c>
      <c r="H24" s="15" t="s">
        <v>375</v>
      </c>
    </row>
    <row r="26" spans="1:8" ht="15" customHeight="1" x14ac:dyDescent="0.3">
      <c r="A26" s="22" t="s">
        <v>57</v>
      </c>
      <c r="B26" s="22"/>
      <c r="C26" s="22"/>
    </row>
    <row r="27" spans="1:8" ht="15" customHeight="1" x14ac:dyDescent="0.3">
      <c r="A27" s="7" t="s">
        <v>58</v>
      </c>
      <c r="B27" s="7" t="s">
        <v>59</v>
      </c>
      <c r="C27" s="7" t="s">
        <v>125</v>
      </c>
    </row>
    <row r="28" spans="1:8" ht="15" customHeight="1" x14ac:dyDescent="0.3">
      <c r="A28" s="3" t="s">
        <v>393</v>
      </c>
      <c r="B28" s="3" t="s">
        <v>394</v>
      </c>
      <c r="C28" s="3" t="s">
        <v>395</v>
      </c>
    </row>
    <row r="29" spans="1:8" ht="15" customHeight="1" x14ac:dyDescent="0.3">
      <c r="A29" s="2" t="s">
        <v>396</v>
      </c>
      <c r="B29" s="2" t="s">
        <v>397</v>
      </c>
      <c r="C29" s="2" t="s">
        <v>398</v>
      </c>
    </row>
    <row r="31" spans="1:8" ht="18" customHeight="1" x14ac:dyDescent="0.3">
      <c r="A31" s="23" t="s">
        <v>68</v>
      </c>
      <c r="B31" s="23"/>
      <c r="C31" s="23"/>
      <c r="D31" s="23"/>
      <c r="E31" s="23"/>
      <c r="F31" s="23"/>
      <c r="G31" s="23"/>
      <c r="H31" s="23"/>
    </row>
    <row r="32" spans="1:8" ht="39.75" customHeight="1" x14ac:dyDescent="0.3">
      <c r="A32" s="1" t="s">
        <v>69</v>
      </c>
      <c r="B32" s="24" t="s">
        <v>399</v>
      </c>
      <c r="C32" s="24"/>
      <c r="D32" s="24"/>
      <c r="E32" s="24"/>
      <c r="F32" s="24"/>
      <c r="G32" s="24"/>
      <c r="H32" s="24"/>
    </row>
    <row r="33" spans="1:8" ht="39.75" customHeight="1" x14ac:dyDescent="0.3">
      <c r="A33" s="1" t="s">
        <v>71</v>
      </c>
      <c r="B33" s="18" t="s">
        <v>400</v>
      </c>
      <c r="C33" s="18"/>
      <c r="D33" s="18"/>
      <c r="E33" s="18"/>
      <c r="F33" s="18"/>
      <c r="G33" s="18"/>
      <c r="H33" s="18"/>
    </row>
    <row r="34" spans="1:8" ht="39.75" customHeight="1" x14ac:dyDescent="0.3">
      <c r="A34" s="1" t="s">
        <v>73</v>
      </c>
      <c r="B34" s="19" t="s">
        <v>401</v>
      </c>
      <c r="C34" s="19"/>
      <c r="D34" s="19"/>
      <c r="E34" s="19"/>
      <c r="F34" s="19"/>
      <c r="G34" s="19"/>
      <c r="H34" s="19"/>
    </row>
    <row r="38" spans="1:8" ht="17.399999999999999" x14ac:dyDescent="0.3">
      <c r="A38" s="17" t="s">
        <v>452</v>
      </c>
      <c r="B38" s="17"/>
    </row>
  </sheetData>
  <mergeCells count="8">
    <mergeCell ref="A38:B38"/>
    <mergeCell ref="B33:H33"/>
    <mergeCell ref="B34:H34"/>
    <mergeCell ref="A1:H1"/>
    <mergeCell ref="A3:H3"/>
    <mergeCell ref="A26:C26"/>
    <mergeCell ref="A31:H31"/>
    <mergeCell ref="B32:H3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7F1C-A990-4F55-999E-CBE727B4225C}">
  <sheetPr>
    <tabColor rgb="FF00B0F0"/>
  </sheetPr>
  <dimension ref="A1:G70"/>
  <sheetViews>
    <sheetView zoomScaleNormal="100" workbookViewId="0">
      <pane ySplit="1" topLeftCell="A5" activePane="bottomLeft" state="frozen"/>
      <selection pane="bottomLeft" activeCell="E63" sqref="E63"/>
    </sheetView>
  </sheetViews>
  <sheetFormatPr defaultColWidth="8.6640625" defaultRowHeight="14.4" x14ac:dyDescent="0.3"/>
  <cols>
    <col min="1" max="1" width="12.5546875" style="33" bestFit="1" customWidth="1"/>
    <col min="2" max="2" width="40" style="33" bestFit="1" customWidth="1"/>
    <col min="3" max="3" width="30.5546875" style="33" customWidth="1"/>
    <col min="4" max="4" width="11.88671875" style="33" customWidth="1"/>
    <col min="5" max="5" width="17.33203125" style="33" customWidth="1"/>
    <col min="6" max="6" width="8" style="33" customWidth="1"/>
    <col min="7" max="7" width="14.6640625" style="33" customWidth="1"/>
    <col min="8" max="16384" width="8.6640625" style="33"/>
  </cols>
  <sheetData>
    <row r="1" spans="1:7" ht="36" customHeight="1" x14ac:dyDescent="0.3">
      <c r="A1" s="32" t="s">
        <v>402</v>
      </c>
      <c r="B1" s="32"/>
      <c r="C1" s="32"/>
      <c r="D1" s="32"/>
      <c r="E1" s="32"/>
      <c r="F1" s="32"/>
      <c r="G1" s="32"/>
    </row>
    <row r="3" spans="1:7" ht="15" customHeight="1" x14ac:dyDescent="0.3">
      <c r="A3" s="34" t="s">
        <v>403</v>
      </c>
      <c r="B3" s="34"/>
      <c r="C3" s="34"/>
      <c r="D3" s="34"/>
      <c r="E3" s="34"/>
      <c r="F3" s="34"/>
      <c r="G3" s="34"/>
    </row>
    <row r="4" spans="1:7" ht="15" customHeight="1" x14ac:dyDescent="0.3">
      <c r="A4" s="35" t="s">
        <v>404</v>
      </c>
      <c r="B4" s="35" t="s">
        <v>405</v>
      </c>
      <c r="C4" s="35" t="s">
        <v>406</v>
      </c>
      <c r="D4" s="35" t="s">
        <v>268</v>
      </c>
      <c r="E4" s="35" t="s">
        <v>284</v>
      </c>
      <c r="F4" s="35" t="s">
        <v>407</v>
      </c>
      <c r="G4" s="35" t="s">
        <v>408</v>
      </c>
    </row>
    <row r="5" spans="1:7" ht="15" customHeight="1" x14ac:dyDescent="0.3">
      <c r="A5" s="36">
        <v>1</v>
      </c>
      <c r="B5" s="37" t="s">
        <v>254</v>
      </c>
      <c r="C5" s="37">
        <v>15</v>
      </c>
      <c r="D5" s="36">
        <v>454</v>
      </c>
      <c r="E5" s="36">
        <v>327</v>
      </c>
      <c r="F5" s="36">
        <v>1775.48</v>
      </c>
      <c r="G5" s="36">
        <v>1</v>
      </c>
    </row>
    <row r="6" spans="1:7" ht="15" customHeight="1" x14ac:dyDescent="0.3">
      <c r="A6" s="40">
        <v>1</v>
      </c>
      <c r="B6" s="41" t="s">
        <v>254</v>
      </c>
      <c r="C6" s="41">
        <v>21</v>
      </c>
      <c r="D6" s="40">
        <v>354</v>
      </c>
      <c r="E6" s="40">
        <v>266</v>
      </c>
      <c r="F6" s="40">
        <v>1552.46</v>
      </c>
      <c r="G6" s="40">
        <v>2</v>
      </c>
    </row>
    <row r="7" spans="1:7" ht="15" customHeight="1" x14ac:dyDescent="0.3">
      <c r="A7" s="36">
        <v>1</v>
      </c>
      <c r="B7" s="37" t="s">
        <v>254</v>
      </c>
      <c r="C7" s="37">
        <v>4</v>
      </c>
      <c r="D7" s="36">
        <v>349</v>
      </c>
      <c r="E7" s="36">
        <v>265</v>
      </c>
      <c r="F7" s="36">
        <v>1548.51</v>
      </c>
      <c r="G7" s="36">
        <v>3</v>
      </c>
    </row>
    <row r="8" spans="1:7" ht="15" customHeight="1" x14ac:dyDescent="0.3">
      <c r="A8" s="40">
        <v>1</v>
      </c>
      <c r="B8" s="41" t="s">
        <v>254</v>
      </c>
      <c r="C8" s="41">
        <v>16</v>
      </c>
      <c r="D8" s="40">
        <v>344</v>
      </c>
      <c r="E8" s="40">
        <v>256</v>
      </c>
      <c r="F8" s="40">
        <v>1438.56</v>
      </c>
      <c r="G8" s="40">
        <v>4</v>
      </c>
    </row>
    <row r="9" spans="1:7" ht="15" customHeight="1" x14ac:dyDescent="0.3">
      <c r="A9" s="36">
        <v>1</v>
      </c>
      <c r="B9" s="37" t="s">
        <v>254</v>
      </c>
      <c r="C9" s="37">
        <v>8</v>
      </c>
      <c r="D9" s="36">
        <v>343</v>
      </c>
      <c r="E9" s="36">
        <v>271</v>
      </c>
      <c r="F9" s="36">
        <v>1456.57</v>
      </c>
      <c r="G9" s="36">
        <v>5</v>
      </c>
    </row>
    <row r="10" spans="1:7" ht="15" customHeight="1" x14ac:dyDescent="0.3">
      <c r="A10" s="40">
        <v>1</v>
      </c>
      <c r="B10" s="41" t="s">
        <v>254</v>
      </c>
      <c r="C10" s="41">
        <v>19</v>
      </c>
      <c r="D10" s="40">
        <v>343</v>
      </c>
      <c r="E10" s="40">
        <v>254</v>
      </c>
      <c r="F10" s="40">
        <v>1496.57</v>
      </c>
      <c r="G10" s="40">
        <v>5</v>
      </c>
    </row>
    <row r="11" spans="1:7" ht="15" customHeight="1" x14ac:dyDescent="0.3">
      <c r="A11" s="36">
        <v>1</v>
      </c>
      <c r="B11" s="37" t="s">
        <v>254</v>
      </c>
      <c r="C11" s="37">
        <v>0</v>
      </c>
      <c r="D11" s="36">
        <v>342</v>
      </c>
      <c r="E11" s="36">
        <v>252</v>
      </c>
      <c r="F11" s="36">
        <v>1448.58</v>
      </c>
      <c r="G11" s="36">
        <v>7</v>
      </c>
    </row>
    <row r="12" spans="1:7" ht="15" customHeight="1" x14ac:dyDescent="0.3">
      <c r="A12" s="40">
        <v>1</v>
      </c>
      <c r="B12" s="41" t="s">
        <v>254</v>
      </c>
      <c r="C12" s="41">
        <v>18</v>
      </c>
      <c r="D12" s="40">
        <v>340</v>
      </c>
      <c r="E12" s="40">
        <v>251</v>
      </c>
      <c r="F12" s="40">
        <v>1485.6</v>
      </c>
      <c r="G12" s="40">
        <v>8</v>
      </c>
    </row>
    <row r="13" spans="1:7" ht="15" customHeight="1" x14ac:dyDescent="0.3">
      <c r="A13" s="36">
        <v>1</v>
      </c>
      <c r="B13" s="37" t="s">
        <v>254</v>
      </c>
      <c r="C13" s="37">
        <v>7</v>
      </c>
      <c r="D13" s="36">
        <v>337</v>
      </c>
      <c r="E13" s="36">
        <v>261</v>
      </c>
      <c r="F13" s="36">
        <v>1434.63</v>
      </c>
      <c r="G13" s="36">
        <v>9</v>
      </c>
    </row>
    <row r="14" spans="1:7" ht="15" customHeight="1" x14ac:dyDescent="0.3">
      <c r="A14" s="40">
        <v>1</v>
      </c>
      <c r="B14" s="41" t="s">
        <v>254</v>
      </c>
      <c r="C14" s="41">
        <v>10</v>
      </c>
      <c r="D14" s="40">
        <v>336</v>
      </c>
      <c r="E14" s="40">
        <v>266</v>
      </c>
      <c r="F14" s="40">
        <v>1457.64</v>
      </c>
      <c r="G14" s="40">
        <v>10</v>
      </c>
    </row>
    <row r="15" spans="1:7" ht="15" customHeight="1" x14ac:dyDescent="0.3">
      <c r="A15" s="36">
        <v>1</v>
      </c>
      <c r="B15" s="37" t="s">
        <v>254</v>
      </c>
      <c r="C15" s="37">
        <v>14</v>
      </c>
      <c r="D15" s="36">
        <v>330</v>
      </c>
      <c r="E15" s="36">
        <v>249</v>
      </c>
      <c r="F15" s="36">
        <v>1366.7</v>
      </c>
      <c r="G15" s="36">
        <v>11</v>
      </c>
    </row>
    <row r="16" spans="1:7" ht="15" customHeight="1" x14ac:dyDescent="0.3">
      <c r="A16" s="40">
        <v>1</v>
      </c>
      <c r="B16" s="41" t="s">
        <v>254</v>
      </c>
      <c r="C16" s="41">
        <v>23</v>
      </c>
      <c r="D16" s="40">
        <v>330</v>
      </c>
      <c r="E16" s="40">
        <v>254</v>
      </c>
      <c r="F16" s="40">
        <v>1495.7</v>
      </c>
      <c r="G16" s="40">
        <v>11</v>
      </c>
    </row>
    <row r="17" spans="1:7" ht="15" customHeight="1" x14ac:dyDescent="0.3">
      <c r="A17" s="36">
        <v>1</v>
      </c>
      <c r="B17" s="37" t="s">
        <v>254</v>
      </c>
      <c r="C17" s="37">
        <v>5</v>
      </c>
      <c r="D17" s="36">
        <v>327</v>
      </c>
      <c r="E17" s="36">
        <v>249</v>
      </c>
      <c r="F17" s="36">
        <v>1450.73</v>
      </c>
      <c r="G17" s="36">
        <v>13</v>
      </c>
    </row>
    <row r="18" spans="1:7" ht="15" customHeight="1" x14ac:dyDescent="0.3">
      <c r="A18" s="40">
        <v>1</v>
      </c>
      <c r="B18" s="41" t="s">
        <v>254</v>
      </c>
      <c r="C18" s="41">
        <v>20</v>
      </c>
      <c r="D18" s="40">
        <v>322</v>
      </c>
      <c r="E18" s="40">
        <v>245</v>
      </c>
      <c r="F18" s="40">
        <v>1423.78</v>
      </c>
      <c r="G18" s="40">
        <v>14</v>
      </c>
    </row>
    <row r="19" spans="1:7" ht="15" customHeight="1" x14ac:dyDescent="0.3">
      <c r="A19" s="36">
        <v>1</v>
      </c>
      <c r="B19" s="37" t="s">
        <v>254</v>
      </c>
      <c r="C19" s="37">
        <v>1</v>
      </c>
      <c r="D19" s="36">
        <v>321</v>
      </c>
      <c r="E19" s="36">
        <v>252</v>
      </c>
      <c r="F19" s="36">
        <v>1218.79</v>
      </c>
      <c r="G19" s="36">
        <v>15</v>
      </c>
    </row>
    <row r="20" spans="1:7" ht="15" customHeight="1" x14ac:dyDescent="0.3">
      <c r="A20" s="40">
        <v>1</v>
      </c>
      <c r="B20" s="41" t="s">
        <v>254</v>
      </c>
      <c r="C20" s="41">
        <v>3</v>
      </c>
      <c r="D20" s="40">
        <v>320</v>
      </c>
      <c r="E20" s="40">
        <v>247</v>
      </c>
      <c r="F20" s="40">
        <v>1308.8</v>
      </c>
      <c r="G20" s="40">
        <v>16</v>
      </c>
    </row>
    <row r="21" spans="1:7" ht="15" customHeight="1" x14ac:dyDescent="0.3">
      <c r="A21" s="36">
        <v>1</v>
      </c>
      <c r="B21" s="37" t="s">
        <v>254</v>
      </c>
      <c r="C21" s="37">
        <v>6</v>
      </c>
      <c r="D21" s="36">
        <v>315</v>
      </c>
      <c r="E21" s="36">
        <v>250</v>
      </c>
      <c r="F21" s="36">
        <v>1381.85</v>
      </c>
      <c r="G21" s="36">
        <v>17</v>
      </c>
    </row>
    <row r="22" spans="1:7" ht="15" customHeight="1" x14ac:dyDescent="0.3">
      <c r="A22" s="40">
        <v>1</v>
      </c>
      <c r="B22" s="41" t="s">
        <v>254</v>
      </c>
      <c r="C22" s="41">
        <v>9</v>
      </c>
      <c r="D22" s="40">
        <v>313</v>
      </c>
      <c r="E22" s="40">
        <v>244</v>
      </c>
      <c r="F22" s="40">
        <v>1354.87</v>
      </c>
      <c r="G22" s="40">
        <v>18</v>
      </c>
    </row>
    <row r="23" spans="1:7" ht="15" customHeight="1" x14ac:dyDescent="0.3">
      <c r="A23" s="36">
        <v>1</v>
      </c>
      <c r="B23" s="37" t="s">
        <v>254</v>
      </c>
      <c r="C23" s="37">
        <v>13</v>
      </c>
      <c r="D23" s="36">
        <v>312</v>
      </c>
      <c r="E23" s="36">
        <v>236</v>
      </c>
      <c r="F23" s="36">
        <v>1285.8800000000001</v>
      </c>
      <c r="G23" s="36">
        <v>19</v>
      </c>
    </row>
    <row r="24" spans="1:7" ht="15" customHeight="1" x14ac:dyDescent="0.3">
      <c r="A24" s="40">
        <v>1</v>
      </c>
      <c r="B24" s="41" t="s">
        <v>254</v>
      </c>
      <c r="C24" s="41">
        <v>12</v>
      </c>
      <c r="D24" s="40">
        <v>308</v>
      </c>
      <c r="E24" s="40">
        <v>249</v>
      </c>
      <c r="F24" s="40">
        <v>1310.92</v>
      </c>
      <c r="G24" s="40">
        <v>20</v>
      </c>
    </row>
    <row r="25" spans="1:7" ht="15" customHeight="1" x14ac:dyDescent="0.3">
      <c r="A25" s="36">
        <v>1</v>
      </c>
      <c r="B25" s="37" t="s">
        <v>254</v>
      </c>
      <c r="C25" s="37">
        <v>11</v>
      </c>
      <c r="D25" s="36">
        <v>307</v>
      </c>
      <c r="E25" s="36">
        <v>244</v>
      </c>
      <c r="F25" s="36">
        <v>1298.93</v>
      </c>
      <c r="G25" s="36">
        <v>21</v>
      </c>
    </row>
    <row r="26" spans="1:7" ht="15" customHeight="1" x14ac:dyDescent="0.3">
      <c r="A26" s="40">
        <v>1</v>
      </c>
      <c r="B26" s="41" t="s">
        <v>254</v>
      </c>
      <c r="C26" s="41">
        <v>17</v>
      </c>
      <c r="D26" s="40">
        <v>303</v>
      </c>
      <c r="E26" s="40">
        <v>238</v>
      </c>
      <c r="F26" s="40">
        <v>1244.97</v>
      </c>
      <c r="G26" s="40">
        <v>22</v>
      </c>
    </row>
    <row r="27" spans="1:7" ht="15" customHeight="1" x14ac:dyDescent="0.3">
      <c r="A27" s="36">
        <v>1</v>
      </c>
      <c r="B27" s="37" t="s">
        <v>254</v>
      </c>
      <c r="C27" s="37">
        <v>2</v>
      </c>
      <c r="D27" s="36">
        <v>295</v>
      </c>
      <c r="E27" s="36">
        <v>229</v>
      </c>
      <c r="F27" s="36">
        <v>1210.05</v>
      </c>
      <c r="G27" s="36">
        <v>23</v>
      </c>
    </row>
    <row r="28" spans="1:7" ht="15" customHeight="1" x14ac:dyDescent="0.3">
      <c r="A28" s="40">
        <v>1</v>
      </c>
      <c r="B28" s="41" t="s">
        <v>254</v>
      </c>
      <c r="C28" s="41">
        <v>22</v>
      </c>
      <c r="D28" s="40">
        <v>278</v>
      </c>
      <c r="E28" s="40">
        <v>219</v>
      </c>
      <c r="F28" s="40">
        <v>1233.22</v>
      </c>
      <c r="G28" s="40">
        <v>24</v>
      </c>
    </row>
    <row r="29" spans="1:7" ht="15" customHeight="1" x14ac:dyDescent="0.3">
      <c r="A29" s="36">
        <v>2</v>
      </c>
      <c r="B29" s="37" t="s">
        <v>256</v>
      </c>
      <c r="C29" s="37">
        <v>15</v>
      </c>
      <c r="D29" s="36">
        <v>433</v>
      </c>
      <c r="E29" s="36">
        <v>306</v>
      </c>
      <c r="F29" s="36">
        <v>1739.65</v>
      </c>
      <c r="G29" s="36">
        <v>1</v>
      </c>
    </row>
    <row r="31" spans="1:7" ht="15" customHeight="1" x14ac:dyDescent="0.3">
      <c r="A31" s="44" t="s">
        <v>57</v>
      </c>
      <c r="B31" s="44"/>
      <c r="C31" s="44"/>
    </row>
    <row r="32" spans="1:7" ht="15" customHeight="1" x14ac:dyDescent="0.3">
      <c r="A32" s="45" t="s">
        <v>58</v>
      </c>
      <c r="B32" s="45" t="s">
        <v>59</v>
      </c>
      <c r="C32" s="45" t="s">
        <v>125</v>
      </c>
    </row>
    <row r="33" spans="1:7" ht="15" customHeight="1" x14ac:dyDescent="0.3">
      <c r="A33" s="37" t="s">
        <v>409</v>
      </c>
      <c r="B33" s="37" t="s">
        <v>410</v>
      </c>
      <c r="C33" s="37" t="s">
        <v>411</v>
      </c>
    </row>
    <row r="34" spans="1:7" ht="15" customHeight="1" x14ac:dyDescent="0.3">
      <c r="A34" s="41" t="s">
        <v>412</v>
      </c>
      <c r="B34" s="41" t="s">
        <v>413</v>
      </c>
      <c r="C34" s="41" t="s">
        <v>414</v>
      </c>
    </row>
    <row r="36" spans="1:7" ht="18" customHeight="1" x14ac:dyDescent="0.3">
      <c r="A36" s="46" t="s">
        <v>68</v>
      </c>
      <c r="B36" s="46"/>
      <c r="C36" s="46"/>
      <c r="D36" s="46"/>
      <c r="E36" s="46"/>
      <c r="F36" s="46"/>
      <c r="G36" s="46"/>
    </row>
    <row r="37" spans="1:7" ht="39.75" customHeight="1" x14ac:dyDescent="0.3">
      <c r="A37" s="35" t="s">
        <v>69</v>
      </c>
      <c r="B37" s="47" t="s">
        <v>415</v>
      </c>
      <c r="C37" s="47"/>
      <c r="D37" s="47"/>
      <c r="E37" s="47"/>
      <c r="F37" s="47"/>
      <c r="G37" s="47"/>
    </row>
    <row r="38" spans="1:7" ht="39.75" customHeight="1" x14ac:dyDescent="0.3">
      <c r="A38" s="35" t="s">
        <v>71</v>
      </c>
      <c r="B38" s="48" t="s">
        <v>416</v>
      </c>
      <c r="C38" s="48"/>
      <c r="D38" s="48"/>
      <c r="E38" s="48"/>
      <c r="F38" s="48"/>
      <c r="G38" s="48"/>
    </row>
    <row r="39" spans="1:7" ht="39.75" customHeight="1" x14ac:dyDescent="0.3">
      <c r="A39" s="35" t="s">
        <v>73</v>
      </c>
      <c r="B39" s="49" t="s">
        <v>417</v>
      </c>
      <c r="C39" s="49"/>
      <c r="D39" s="49"/>
      <c r="E39" s="49"/>
      <c r="F39" s="49"/>
      <c r="G39" s="49"/>
    </row>
    <row r="41" spans="1:7" ht="17.399999999999999" x14ac:dyDescent="0.3">
      <c r="A41" s="33" t="s">
        <v>418</v>
      </c>
      <c r="B41" s="33" t="s">
        <v>419</v>
      </c>
      <c r="C41" s="51" t="s">
        <v>452</v>
      </c>
      <c r="D41" s="51"/>
    </row>
    <row r="42" spans="1:7" x14ac:dyDescent="0.3">
      <c r="A42" s="52">
        <v>0</v>
      </c>
      <c r="B42" s="53">
        <v>342</v>
      </c>
    </row>
    <row r="43" spans="1:7" x14ac:dyDescent="0.3">
      <c r="A43" s="52">
        <v>1</v>
      </c>
      <c r="B43" s="53">
        <v>321</v>
      </c>
    </row>
    <row r="44" spans="1:7" x14ac:dyDescent="0.3">
      <c r="A44" s="52">
        <v>2</v>
      </c>
      <c r="B44" s="53">
        <v>295</v>
      </c>
    </row>
    <row r="45" spans="1:7" ht="15" customHeight="1" x14ac:dyDescent="0.3">
      <c r="A45" s="52">
        <v>3</v>
      </c>
      <c r="B45" s="53">
        <v>320</v>
      </c>
    </row>
    <row r="46" spans="1:7" ht="15" customHeight="1" x14ac:dyDescent="0.3">
      <c r="A46" s="52">
        <v>4</v>
      </c>
      <c r="B46" s="53">
        <v>349</v>
      </c>
    </row>
    <row r="47" spans="1:7" ht="15" customHeight="1" x14ac:dyDescent="0.3">
      <c r="A47" s="52">
        <v>5</v>
      </c>
      <c r="B47" s="53">
        <v>327</v>
      </c>
    </row>
    <row r="48" spans="1:7" ht="15" customHeight="1" x14ac:dyDescent="0.3">
      <c r="A48" s="52">
        <v>6</v>
      </c>
      <c r="B48" s="53">
        <v>315</v>
      </c>
    </row>
    <row r="49" spans="1:2" ht="15" customHeight="1" x14ac:dyDescent="0.3">
      <c r="A49" s="52">
        <v>7</v>
      </c>
      <c r="B49" s="53">
        <v>337</v>
      </c>
    </row>
    <row r="50" spans="1:2" ht="15" customHeight="1" x14ac:dyDescent="0.3">
      <c r="A50" s="52">
        <v>8</v>
      </c>
      <c r="B50" s="53">
        <v>343</v>
      </c>
    </row>
    <row r="51" spans="1:2" ht="15" customHeight="1" x14ac:dyDescent="0.3">
      <c r="A51" s="52">
        <v>9</v>
      </c>
      <c r="B51" s="53">
        <v>313</v>
      </c>
    </row>
    <row r="52" spans="1:2" ht="15" customHeight="1" x14ac:dyDescent="0.3">
      <c r="A52" s="52">
        <v>10</v>
      </c>
      <c r="B52" s="53">
        <v>336</v>
      </c>
    </row>
    <row r="53" spans="1:2" ht="15" customHeight="1" x14ac:dyDescent="0.3">
      <c r="A53" s="52">
        <v>11</v>
      </c>
      <c r="B53" s="53">
        <v>307</v>
      </c>
    </row>
    <row r="54" spans="1:2" ht="15" customHeight="1" x14ac:dyDescent="0.3">
      <c r="A54" s="52">
        <v>12</v>
      </c>
      <c r="B54" s="53">
        <v>308</v>
      </c>
    </row>
    <row r="55" spans="1:2" ht="15" customHeight="1" x14ac:dyDescent="0.3">
      <c r="A55" s="52">
        <v>13</v>
      </c>
      <c r="B55" s="53">
        <v>312</v>
      </c>
    </row>
    <row r="56" spans="1:2" ht="15" customHeight="1" x14ac:dyDescent="0.3">
      <c r="A56" s="52">
        <v>14</v>
      </c>
      <c r="B56" s="53">
        <v>330</v>
      </c>
    </row>
    <row r="57" spans="1:2" ht="15" customHeight="1" x14ac:dyDescent="0.3">
      <c r="A57" s="52">
        <v>15</v>
      </c>
      <c r="B57" s="53">
        <v>887</v>
      </c>
    </row>
    <row r="58" spans="1:2" ht="15" customHeight="1" x14ac:dyDescent="0.3">
      <c r="A58" s="52">
        <v>16</v>
      </c>
      <c r="B58" s="53">
        <v>344</v>
      </c>
    </row>
    <row r="59" spans="1:2" ht="15" customHeight="1" x14ac:dyDescent="0.3">
      <c r="A59" s="52">
        <v>17</v>
      </c>
      <c r="B59" s="53">
        <v>303</v>
      </c>
    </row>
    <row r="60" spans="1:2" ht="15" customHeight="1" x14ac:dyDescent="0.3">
      <c r="A60" s="52">
        <v>18</v>
      </c>
      <c r="B60" s="53">
        <v>340</v>
      </c>
    </row>
    <row r="61" spans="1:2" ht="15" customHeight="1" x14ac:dyDescent="0.3">
      <c r="A61" s="52">
        <v>19</v>
      </c>
      <c r="B61" s="53">
        <v>343</v>
      </c>
    </row>
    <row r="62" spans="1:2" ht="15" customHeight="1" x14ac:dyDescent="0.3">
      <c r="A62" s="52">
        <v>20</v>
      </c>
      <c r="B62" s="53">
        <v>322</v>
      </c>
    </row>
    <row r="63" spans="1:2" ht="15" customHeight="1" x14ac:dyDescent="0.3">
      <c r="A63" s="52">
        <v>21</v>
      </c>
      <c r="B63" s="53">
        <v>354</v>
      </c>
    </row>
    <row r="64" spans="1:2" ht="15" customHeight="1" x14ac:dyDescent="0.3">
      <c r="A64" s="52">
        <v>22</v>
      </c>
      <c r="B64" s="53">
        <v>278</v>
      </c>
    </row>
    <row r="65" spans="1:2" ht="15" customHeight="1" x14ac:dyDescent="0.3">
      <c r="A65" s="52">
        <v>23</v>
      </c>
      <c r="B65" s="53">
        <v>330</v>
      </c>
    </row>
    <row r="66" spans="1:2" ht="15" customHeight="1" x14ac:dyDescent="0.3">
      <c r="A66" s="52" t="s">
        <v>420</v>
      </c>
      <c r="B66" s="53">
        <v>8356</v>
      </c>
    </row>
    <row r="67" spans="1:2" ht="15" customHeight="1" x14ac:dyDescent="0.3">
      <c r="A67" s="52"/>
      <c r="B67" s="53"/>
    </row>
    <row r="68" spans="1:2" ht="15" customHeight="1" x14ac:dyDescent="0.3">
      <c r="A68" s="52"/>
      <c r="B68" s="53"/>
    </row>
    <row r="69" spans="1:2" ht="15" customHeight="1" x14ac:dyDescent="0.3">
      <c r="A69" s="52"/>
      <c r="B69" s="53"/>
    </row>
    <row r="70" spans="1:2" ht="15" customHeight="1" x14ac:dyDescent="0.3">
      <c r="A70" s="52"/>
      <c r="B70" s="53"/>
    </row>
  </sheetData>
  <mergeCells count="7">
    <mergeCell ref="B39:G39"/>
    <mergeCell ref="A1:G1"/>
    <mergeCell ref="A3:G3"/>
    <mergeCell ref="A31:C31"/>
    <mergeCell ref="A36:G36"/>
    <mergeCell ref="B37:G37"/>
    <mergeCell ref="B38:G38"/>
  </mergeCells>
  <pageMargins left="0.75" right="0.75" top="1" bottom="1" header="0.511811023622047" footer="0.511811023622047"/>
  <pageSetup orientation="portrait" horizontalDpi="300" verticalDpi="30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G43"/>
  <sheetViews>
    <sheetView zoomScaleNormal="100" workbookViewId="0">
      <pane ySplit="1" topLeftCell="A44" activePane="bottomLeft" state="frozen"/>
      <selection pane="bottomLeft" activeCell="E63" sqref="E63"/>
    </sheetView>
  </sheetViews>
  <sheetFormatPr defaultColWidth="8.6640625" defaultRowHeight="14.4" x14ac:dyDescent="0.3"/>
  <cols>
    <col min="1" max="1" width="22.88671875" customWidth="1"/>
    <col min="2" max="2" width="40.77734375" customWidth="1"/>
    <col min="3" max="3" width="31.33203125" customWidth="1"/>
    <col min="4" max="4" width="20" customWidth="1"/>
    <col min="5" max="5" width="11.88671875" customWidth="1"/>
    <col min="6" max="6" width="17.33203125" customWidth="1"/>
    <col min="7" max="7" width="15" customWidth="1"/>
  </cols>
  <sheetData>
    <row r="1" spans="1:7" ht="36" customHeight="1" x14ac:dyDescent="0.3">
      <c r="A1" s="20" t="s">
        <v>421</v>
      </c>
      <c r="B1" s="20"/>
      <c r="C1" s="20"/>
      <c r="D1" s="20"/>
      <c r="E1" s="20"/>
      <c r="F1" s="20"/>
      <c r="G1" s="20"/>
    </row>
    <row r="3" spans="1:7" ht="15" customHeight="1" x14ac:dyDescent="0.3">
      <c r="A3" s="21" t="s">
        <v>403</v>
      </c>
      <c r="B3" s="21"/>
      <c r="C3" s="21"/>
      <c r="D3" s="21"/>
      <c r="E3" s="21"/>
      <c r="F3" s="21"/>
      <c r="G3" s="21"/>
    </row>
    <row r="4" spans="1:7" ht="15" customHeight="1" x14ac:dyDescent="0.3">
      <c r="A4" s="1" t="s">
        <v>297</v>
      </c>
      <c r="B4" s="1" t="s">
        <v>282</v>
      </c>
      <c r="C4" s="1" t="s">
        <v>422</v>
      </c>
      <c r="D4" s="1" t="s">
        <v>423</v>
      </c>
      <c r="E4" s="1" t="s">
        <v>268</v>
      </c>
      <c r="F4" s="1" t="s">
        <v>284</v>
      </c>
      <c r="G4" s="1" t="s">
        <v>270</v>
      </c>
    </row>
    <row r="5" spans="1:7" ht="15" customHeight="1" x14ac:dyDescent="0.3">
      <c r="A5" s="3" t="s">
        <v>206</v>
      </c>
      <c r="B5" s="3" t="s">
        <v>106</v>
      </c>
      <c r="C5" s="3" t="s">
        <v>424</v>
      </c>
      <c r="D5" s="3" t="s">
        <v>114</v>
      </c>
      <c r="E5" s="3">
        <v>2</v>
      </c>
      <c r="F5" s="4">
        <v>1</v>
      </c>
      <c r="G5" s="5">
        <v>3.98</v>
      </c>
    </row>
    <row r="6" spans="1:7" ht="15" customHeight="1" x14ac:dyDescent="0.3">
      <c r="A6" s="2" t="s">
        <v>206</v>
      </c>
      <c r="B6" s="2" t="s">
        <v>113</v>
      </c>
      <c r="C6" s="2" t="s">
        <v>424</v>
      </c>
      <c r="D6" s="2" t="s">
        <v>95</v>
      </c>
      <c r="E6" s="2">
        <v>2</v>
      </c>
      <c r="F6" s="13">
        <v>1</v>
      </c>
      <c r="G6" s="14">
        <v>12.98</v>
      </c>
    </row>
    <row r="7" spans="1:7" ht="15" customHeight="1" x14ac:dyDescent="0.3">
      <c r="A7" s="3" t="s">
        <v>208</v>
      </c>
      <c r="B7" s="3" t="s">
        <v>110</v>
      </c>
      <c r="C7" s="3" t="s">
        <v>424</v>
      </c>
      <c r="D7" s="3" t="s">
        <v>89</v>
      </c>
      <c r="E7" s="3">
        <v>4</v>
      </c>
      <c r="F7" s="4">
        <v>3</v>
      </c>
      <c r="G7" s="5">
        <v>20.96</v>
      </c>
    </row>
    <row r="8" spans="1:7" ht="15" customHeight="1" x14ac:dyDescent="0.3">
      <c r="A8" s="2" t="s">
        <v>208</v>
      </c>
      <c r="B8" s="2" t="s">
        <v>97</v>
      </c>
      <c r="C8" s="2" t="s">
        <v>424</v>
      </c>
      <c r="D8" s="2" t="s">
        <v>95</v>
      </c>
      <c r="E8" s="2">
        <v>4</v>
      </c>
      <c r="F8" s="13">
        <v>1</v>
      </c>
      <c r="G8" s="14">
        <v>14.96</v>
      </c>
    </row>
    <row r="9" spans="1:7" ht="15" customHeight="1" x14ac:dyDescent="0.3">
      <c r="A9" s="3" t="s">
        <v>212</v>
      </c>
      <c r="B9" s="3" t="s">
        <v>214</v>
      </c>
      <c r="C9" s="3" t="s">
        <v>424</v>
      </c>
      <c r="D9" s="3" t="s">
        <v>89</v>
      </c>
      <c r="E9" s="3">
        <v>2</v>
      </c>
      <c r="F9" s="4">
        <v>1</v>
      </c>
      <c r="G9" s="6">
        <v>6.98</v>
      </c>
    </row>
    <row r="10" spans="1:7" ht="15" customHeight="1" x14ac:dyDescent="0.3">
      <c r="A10" s="2" t="s">
        <v>212</v>
      </c>
      <c r="B10" s="2" t="s">
        <v>106</v>
      </c>
      <c r="C10" s="2" t="s">
        <v>424</v>
      </c>
      <c r="D10" s="2" t="s">
        <v>114</v>
      </c>
      <c r="E10" s="2">
        <v>2</v>
      </c>
      <c r="F10" s="13">
        <v>1</v>
      </c>
      <c r="G10" s="14">
        <v>8.98</v>
      </c>
    </row>
    <row r="11" spans="1:7" ht="15" customHeight="1" x14ac:dyDescent="0.3">
      <c r="A11" s="3" t="s">
        <v>215</v>
      </c>
      <c r="B11" s="3" t="s">
        <v>217</v>
      </c>
      <c r="C11" s="3" t="s">
        <v>424</v>
      </c>
      <c r="D11" s="3" t="s">
        <v>89</v>
      </c>
      <c r="E11" s="3">
        <v>4</v>
      </c>
      <c r="F11" s="4">
        <v>2</v>
      </c>
      <c r="G11" s="5">
        <v>9.9600000000000009</v>
      </c>
    </row>
    <row r="12" spans="1:7" ht="15" customHeight="1" x14ac:dyDescent="0.3">
      <c r="A12" s="2" t="s">
        <v>215</v>
      </c>
      <c r="B12" s="2" t="s">
        <v>102</v>
      </c>
      <c r="C12" s="2" t="s">
        <v>424</v>
      </c>
      <c r="D12" s="2" t="s">
        <v>89</v>
      </c>
      <c r="E12" s="2">
        <v>4</v>
      </c>
      <c r="F12" s="13">
        <v>2</v>
      </c>
      <c r="G12" s="14">
        <v>18.96</v>
      </c>
    </row>
    <row r="13" spans="1:7" ht="15" customHeight="1" x14ac:dyDescent="0.3">
      <c r="A13" s="3" t="s">
        <v>219</v>
      </c>
      <c r="B13" s="3" t="s">
        <v>119</v>
      </c>
      <c r="C13" s="3" t="s">
        <v>424</v>
      </c>
      <c r="D13" s="3" t="s">
        <v>92</v>
      </c>
      <c r="E13" s="3">
        <v>2</v>
      </c>
      <c r="F13" s="4">
        <v>1</v>
      </c>
      <c r="G13" s="6">
        <v>9.98</v>
      </c>
    </row>
    <row r="14" spans="1:7" ht="15" customHeight="1" x14ac:dyDescent="0.3">
      <c r="A14" s="2" t="s">
        <v>219</v>
      </c>
      <c r="B14" s="2" t="s">
        <v>108</v>
      </c>
      <c r="C14" s="2" t="s">
        <v>424</v>
      </c>
      <c r="D14" s="2" t="s">
        <v>114</v>
      </c>
      <c r="E14" s="2">
        <v>2</v>
      </c>
      <c r="F14" s="13">
        <v>1</v>
      </c>
      <c r="G14" s="14">
        <v>5.98</v>
      </c>
    </row>
    <row r="15" spans="1:7" ht="15" customHeight="1" x14ac:dyDescent="0.3">
      <c r="A15" s="3" t="s">
        <v>219</v>
      </c>
      <c r="B15" s="3" t="s">
        <v>116</v>
      </c>
      <c r="C15" s="3" t="s">
        <v>424</v>
      </c>
      <c r="D15" s="3" t="s">
        <v>92</v>
      </c>
      <c r="E15" s="3">
        <v>2</v>
      </c>
      <c r="F15" s="4">
        <v>1</v>
      </c>
      <c r="G15" s="6">
        <v>3.98</v>
      </c>
    </row>
    <row r="16" spans="1:7" ht="15" customHeight="1" x14ac:dyDescent="0.3">
      <c r="A16" s="2" t="s">
        <v>219</v>
      </c>
      <c r="B16" s="2" t="s">
        <v>102</v>
      </c>
      <c r="C16" s="2" t="s">
        <v>424</v>
      </c>
      <c r="D16" s="2" t="s">
        <v>92</v>
      </c>
      <c r="E16" s="2">
        <v>2</v>
      </c>
      <c r="F16" s="13">
        <v>1</v>
      </c>
      <c r="G16" s="14">
        <v>3.98</v>
      </c>
    </row>
    <row r="17" spans="1:7" ht="15" customHeight="1" x14ac:dyDescent="0.3">
      <c r="A17" s="3" t="s">
        <v>219</v>
      </c>
      <c r="B17" s="3" t="s">
        <v>88</v>
      </c>
      <c r="C17" s="3" t="s">
        <v>424</v>
      </c>
      <c r="D17" s="3" t="s">
        <v>95</v>
      </c>
      <c r="E17" s="3">
        <v>2</v>
      </c>
      <c r="F17" s="4">
        <v>1</v>
      </c>
      <c r="G17" s="6">
        <v>5.98</v>
      </c>
    </row>
    <row r="18" spans="1:7" ht="15" customHeight="1" x14ac:dyDescent="0.3">
      <c r="A18" s="2" t="s">
        <v>219</v>
      </c>
      <c r="B18" s="2" t="s">
        <v>88</v>
      </c>
      <c r="C18" s="2" t="s">
        <v>424</v>
      </c>
      <c r="D18" s="2" t="s">
        <v>92</v>
      </c>
      <c r="E18" s="2">
        <v>2</v>
      </c>
      <c r="F18" s="13">
        <v>1</v>
      </c>
      <c r="G18" s="14">
        <v>5.98</v>
      </c>
    </row>
    <row r="19" spans="1:7" ht="15" customHeight="1" x14ac:dyDescent="0.3">
      <c r="A19" s="3" t="s">
        <v>221</v>
      </c>
      <c r="B19" s="3" t="s">
        <v>110</v>
      </c>
      <c r="C19" s="3" t="s">
        <v>424</v>
      </c>
      <c r="D19" s="3" t="s">
        <v>89</v>
      </c>
      <c r="E19" s="3">
        <v>12</v>
      </c>
      <c r="F19" s="4">
        <v>8</v>
      </c>
      <c r="G19" s="6">
        <v>34.89</v>
      </c>
    </row>
    <row r="20" spans="1:7" ht="15" customHeight="1" x14ac:dyDescent="0.3">
      <c r="A20" s="2" t="s">
        <v>221</v>
      </c>
      <c r="B20" s="2" t="s">
        <v>94</v>
      </c>
      <c r="C20" s="2" t="s">
        <v>424</v>
      </c>
      <c r="D20" s="2" t="s">
        <v>95</v>
      </c>
      <c r="E20" s="2">
        <v>12</v>
      </c>
      <c r="F20" s="13">
        <v>8</v>
      </c>
      <c r="G20" s="15">
        <v>49.88</v>
      </c>
    </row>
    <row r="21" spans="1:7" ht="15" customHeight="1" x14ac:dyDescent="0.3">
      <c r="A21" s="3" t="s">
        <v>236</v>
      </c>
      <c r="B21" s="3" t="s">
        <v>102</v>
      </c>
      <c r="C21" s="3" t="s">
        <v>424</v>
      </c>
      <c r="D21" s="3" t="s">
        <v>92</v>
      </c>
      <c r="E21" s="3">
        <v>4</v>
      </c>
      <c r="F21" s="4">
        <v>1</v>
      </c>
      <c r="G21" s="6">
        <v>16.96</v>
      </c>
    </row>
    <row r="22" spans="1:7" ht="15" customHeight="1" x14ac:dyDescent="0.3">
      <c r="A22" s="2" t="s">
        <v>238</v>
      </c>
      <c r="B22" s="2" t="s">
        <v>102</v>
      </c>
      <c r="C22" s="2" t="s">
        <v>424</v>
      </c>
      <c r="D22" s="2" t="s">
        <v>92</v>
      </c>
      <c r="E22" s="2">
        <v>4</v>
      </c>
      <c r="F22" s="13">
        <v>3</v>
      </c>
      <c r="G22" s="15">
        <v>17.96</v>
      </c>
    </row>
    <row r="23" spans="1:7" ht="15" customHeight="1" x14ac:dyDescent="0.3">
      <c r="A23" s="3" t="s">
        <v>238</v>
      </c>
      <c r="B23" s="3" t="s">
        <v>104</v>
      </c>
      <c r="C23" s="3" t="s">
        <v>424</v>
      </c>
      <c r="D23" s="3" t="s">
        <v>89</v>
      </c>
      <c r="E23" s="3">
        <v>4</v>
      </c>
      <c r="F23" s="4">
        <v>2</v>
      </c>
      <c r="G23" s="5">
        <v>13.96</v>
      </c>
    </row>
    <row r="24" spans="1:7" ht="15" customHeight="1" x14ac:dyDescent="0.3">
      <c r="A24" s="2" t="s">
        <v>425</v>
      </c>
      <c r="B24" s="2" t="s">
        <v>91</v>
      </c>
      <c r="C24" s="2" t="s">
        <v>424</v>
      </c>
      <c r="D24" s="2" t="s">
        <v>123</v>
      </c>
      <c r="E24" s="2">
        <v>3</v>
      </c>
      <c r="F24" s="13">
        <v>2</v>
      </c>
      <c r="G24" s="14">
        <v>11.97</v>
      </c>
    </row>
    <row r="25" spans="1:7" ht="15" customHeight="1" x14ac:dyDescent="0.3">
      <c r="A25" s="3" t="s">
        <v>425</v>
      </c>
      <c r="B25" s="3" t="s">
        <v>97</v>
      </c>
      <c r="C25" s="3" t="s">
        <v>424</v>
      </c>
      <c r="D25" s="3" t="s">
        <v>95</v>
      </c>
      <c r="E25" s="3">
        <v>3</v>
      </c>
      <c r="F25" s="4">
        <v>2</v>
      </c>
      <c r="G25" s="5">
        <v>8.9700000000000006</v>
      </c>
    </row>
    <row r="26" spans="1:7" ht="15" customHeight="1" x14ac:dyDescent="0.3">
      <c r="A26" s="2" t="s">
        <v>425</v>
      </c>
      <c r="B26" s="2" t="s">
        <v>102</v>
      </c>
      <c r="C26" s="2" t="s">
        <v>424</v>
      </c>
      <c r="D26" s="2" t="s">
        <v>123</v>
      </c>
      <c r="E26" s="2">
        <v>3</v>
      </c>
      <c r="F26" s="13">
        <v>1</v>
      </c>
      <c r="G26" s="15">
        <v>17.97</v>
      </c>
    </row>
    <row r="27" spans="1:7" ht="15" customHeight="1" x14ac:dyDescent="0.3">
      <c r="A27" s="3" t="s">
        <v>425</v>
      </c>
      <c r="B27" s="3" t="s">
        <v>217</v>
      </c>
      <c r="C27" s="3" t="s">
        <v>424</v>
      </c>
      <c r="D27" s="3" t="s">
        <v>123</v>
      </c>
      <c r="E27" s="3">
        <v>3</v>
      </c>
      <c r="F27" s="4">
        <v>2</v>
      </c>
      <c r="G27" s="5">
        <v>10.97</v>
      </c>
    </row>
    <row r="28" spans="1:7" ht="15" customHeight="1" x14ac:dyDescent="0.3">
      <c r="A28" s="2" t="s">
        <v>426</v>
      </c>
      <c r="B28" s="2" t="s">
        <v>108</v>
      </c>
      <c r="C28" s="2" t="s">
        <v>424</v>
      </c>
      <c r="D28" s="2" t="s">
        <v>123</v>
      </c>
      <c r="E28" s="2">
        <v>3</v>
      </c>
      <c r="F28" s="13">
        <v>1</v>
      </c>
      <c r="G28" s="15">
        <v>10.97</v>
      </c>
    </row>
    <row r="29" spans="1:7" ht="15" customHeight="1" x14ac:dyDescent="0.3">
      <c r="A29" s="3" t="s">
        <v>427</v>
      </c>
      <c r="B29" s="3" t="s">
        <v>104</v>
      </c>
      <c r="C29" s="3" t="s">
        <v>424</v>
      </c>
      <c r="D29" s="3" t="s">
        <v>89</v>
      </c>
      <c r="E29" s="3">
        <v>5</v>
      </c>
      <c r="F29" s="4">
        <v>2</v>
      </c>
      <c r="G29" s="5">
        <v>23.95</v>
      </c>
    </row>
    <row r="31" spans="1:7" ht="15" customHeight="1" x14ac:dyDescent="0.3">
      <c r="A31" s="30" t="s">
        <v>57</v>
      </c>
      <c r="B31" s="30"/>
      <c r="C31" s="30"/>
    </row>
    <row r="32" spans="1:7" ht="15" customHeight="1" x14ac:dyDescent="0.3">
      <c r="A32" s="7" t="s">
        <v>58</v>
      </c>
      <c r="B32" s="7" t="s">
        <v>59</v>
      </c>
      <c r="C32" s="7" t="s">
        <v>125</v>
      </c>
    </row>
    <row r="33" spans="1:7" ht="15" customHeight="1" x14ac:dyDescent="0.3">
      <c r="A33" s="3" t="s">
        <v>241</v>
      </c>
      <c r="B33" s="3" t="s">
        <v>242</v>
      </c>
      <c r="C33" s="3" t="s">
        <v>428</v>
      </c>
    </row>
    <row r="34" spans="1:7" ht="15" customHeight="1" x14ac:dyDescent="0.3">
      <c r="A34" s="2" t="s">
        <v>429</v>
      </c>
      <c r="B34" s="2" t="s">
        <v>430</v>
      </c>
      <c r="C34" s="2" t="s">
        <v>431</v>
      </c>
    </row>
    <row r="36" spans="1:7" ht="18" customHeight="1" x14ac:dyDescent="0.3">
      <c r="A36" s="23" t="s">
        <v>68</v>
      </c>
      <c r="B36" s="23"/>
      <c r="C36" s="23"/>
      <c r="D36" s="23"/>
      <c r="E36" s="23"/>
      <c r="F36" s="23"/>
      <c r="G36" s="23"/>
    </row>
    <row r="37" spans="1:7" ht="39.75" customHeight="1" x14ac:dyDescent="0.3">
      <c r="A37" s="1" t="s">
        <v>69</v>
      </c>
      <c r="B37" s="24" t="s">
        <v>432</v>
      </c>
      <c r="C37" s="24"/>
      <c r="D37" s="24"/>
      <c r="E37" s="24"/>
      <c r="F37" s="24"/>
      <c r="G37" s="24"/>
    </row>
    <row r="38" spans="1:7" ht="39.75" customHeight="1" x14ac:dyDescent="0.3">
      <c r="A38" s="1" t="s">
        <v>71</v>
      </c>
      <c r="B38" s="18" t="s">
        <v>433</v>
      </c>
      <c r="C38" s="18"/>
      <c r="D38" s="18"/>
      <c r="E38" s="18"/>
      <c r="F38" s="18"/>
      <c r="G38" s="18"/>
    </row>
    <row r="39" spans="1:7" ht="39.75" customHeight="1" x14ac:dyDescent="0.3">
      <c r="A39" s="1" t="s">
        <v>73</v>
      </c>
      <c r="B39" s="19" t="s">
        <v>434</v>
      </c>
      <c r="C39" s="19"/>
      <c r="D39" s="19"/>
      <c r="E39" s="19"/>
      <c r="F39" s="19"/>
      <c r="G39" s="19"/>
    </row>
    <row r="43" spans="1:7" ht="17.399999999999999" x14ac:dyDescent="0.3">
      <c r="A43" s="16" t="s">
        <v>452</v>
      </c>
    </row>
  </sheetData>
  <mergeCells count="7">
    <mergeCell ref="B38:G38"/>
    <mergeCell ref="B39:G39"/>
    <mergeCell ref="A1:G1"/>
    <mergeCell ref="A3:G3"/>
    <mergeCell ref="A31:C31"/>
    <mergeCell ref="A36:G36"/>
    <mergeCell ref="B37:G37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K18"/>
  <sheetViews>
    <sheetView tabSelected="1" zoomScaleNormal="100" workbookViewId="0">
      <pane ySplit="1" topLeftCell="A17" activePane="bottomLeft" state="frozen"/>
      <selection pane="bottomLeft" activeCell="D32" sqref="D32"/>
    </sheetView>
  </sheetViews>
  <sheetFormatPr defaultColWidth="8.6640625" defaultRowHeight="14.4" x14ac:dyDescent="0.3"/>
  <cols>
    <col min="1" max="1" width="25.21875" customWidth="1"/>
    <col min="2" max="2" width="43.44140625" customWidth="1"/>
    <col min="3" max="3" width="26" customWidth="1"/>
    <col min="4" max="4" width="15" customWidth="1"/>
    <col min="5" max="5" width="18" customWidth="1"/>
    <col min="6" max="6" width="22" customWidth="1"/>
    <col min="7" max="7" width="16" customWidth="1"/>
    <col min="8" max="8" width="19" customWidth="1"/>
    <col min="9" max="9" width="15" customWidth="1"/>
    <col min="10" max="10" width="13" customWidth="1"/>
    <col min="11" max="11" width="18" customWidth="1"/>
  </cols>
  <sheetData>
    <row r="1" spans="1:11" ht="36" customHeight="1" x14ac:dyDescent="0.3">
      <c r="A1" s="20" t="s">
        <v>435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ht="15" customHeight="1" x14ac:dyDescent="0.3">
      <c r="A3" s="21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3">
      <c r="A4" s="1" t="s">
        <v>171</v>
      </c>
      <c r="B4" s="1" t="s">
        <v>436</v>
      </c>
      <c r="C4" s="1" t="s">
        <v>437</v>
      </c>
      <c r="D4" s="1" t="s">
        <v>83</v>
      </c>
      <c r="E4" s="1" t="s">
        <v>173</v>
      </c>
      <c r="F4" s="1" t="s">
        <v>438</v>
      </c>
      <c r="G4" s="1" t="s">
        <v>439</v>
      </c>
      <c r="H4" s="1" t="s">
        <v>440</v>
      </c>
      <c r="I4" s="1" t="s">
        <v>84</v>
      </c>
      <c r="J4" s="1" t="s">
        <v>85</v>
      </c>
      <c r="K4" s="1" t="s">
        <v>441</v>
      </c>
    </row>
    <row r="5" spans="1:11" ht="15" customHeight="1" x14ac:dyDescent="0.3">
      <c r="A5" s="3" t="s">
        <v>174</v>
      </c>
      <c r="B5" s="4">
        <v>958</v>
      </c>
      <c r="C5" s="4">
        <v>4581</v>
      </c>
      <c r="D5" s="4">
        <v>16044</v>
      </c>
      <c r="E5" s="4">
        <v>599</v>
      </c>
      <c r="F5" s="5">
        <v>26.78</v>
      </c>
      <c r="G5" s="4">
        <v>16044</v>
      </c>
      <c r="H5" s="5">
        <v>100</v>
      </c>
      <c r="I5" s="5">
        <v>67406.559999999998</v>
      </c>
      <c r="J5" s="6">
        <v>4.2</v>
      </c>
      <c r="K5" s="3" t="s">
        <v>442</v>
      </c>
    </row>
    <row r="7" spans="1:11" ht="15" customHeight="1" x14ac:dyDescent="0.3">
      <c r="A7" s="22" t="s">
        <v>57</v>
      </c>
      <c r="B7" s="22"/>
      <c r="C7" s="22"/>
    </row>
    <row r="8" spans="1:11" ht="15" customHeight="1" x14ac:dyDescent="0.3">
      <c r="A8" s="7" t="s">
        <v>58</v>
      </c>
      <c r="B8" s="7" t="s">
        <v>59</v>
      </c>
      <c r="C8" s="7" t="s">
        <v>125</v>
      </c>
    </row>
    <row r="9" spans="1:11" ht="15" customHeight="1" x14ac:dyDescent="0.3">
      <c r="A9" s="3" t="s">
        <v>443</v>
      </c>
      <c r="B9" s="3" t="s">
        <v>444</v>
      </c>
      <c r="C9" s="3" t="s">
        <v>445</v>
      </c>
    </row>
    <row r="10" spans="1:11" ht="15" customHeight="1" x14ac:dyDescent="0.3">
      <c r="A10" s="2" t="s">
        <v>446</v>
      </c>
      <c r="B10" s="2" t="s">
        <v>447</v>
      </c>
      <c r="C10" s="2" t="s">
        <v>448</v>
      </c>
    </row>
    <row r="12" spans="1:11" ht="18" customHeight="1" x14ac:dyDescent="0.3">
      <c r="A12" s="23" t="s">
        <v>68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9.75" customHeight="1" x14ac:dyDescent="0.3">
      <c r="A13" s="1" t="s">
        <v>69</v>
      </c>
      <c r="B13" s="24" t="s">
        <v>449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39.75" customHeight="1" x14ac:dyDescent="0.3">
      <c r="A14" s="1" t="s">
        <v>71</v>
      </c>
      <c r="B14" s="18" t="s">
        <v>450</v>
      </c>
      <c r="C14" s="18"/>
      <c r="D14" s="18"/>
      <c r="E14" s="18"/>
      <c r="F14" s="18"/>
      <c r="G14" s="18"/>
      <c r="H14" s="18"/>
      <c r="I14" s="18"/>
      <c r="J14" s="18"/>
      <c r="K14" s="18"/>
    </row>
    <row r="15" spans="1:11" ht="39.75" customHeight="1" x14ac:dyDescent="0.3">
      <c r="A15" s="1" t="s">
        <v>73</v>
      </c>
      <c r="B15" s="19" t="s">
        <v>451</v>
      </c>
      <c r="C15" s="19"/>
      <c r="D15" s="19"/>
      <c r="E15" s="19"/>
      <c r="F15" s="19"/>
      <c r="G15" s="19"/>
      <c r="H15" s="19"/>
      <c r="I15" s="19"/>
      <c r="J15" s="19"/>
      <c r="K15" s="19"/>
    </row>
    <row r="18" spans="1:1" ht="17.399999999999999" x14ac:dyDescent="0.3">
      <c r="A18" s="16" t="s">
        <v>452</v>
      </c>
    </row>
  </sheetData>
  <mergeCells count="7">
    <mergeCell ref="B14:K14"/>
    <mergeCell ref="B15:K15"/>
    <mergeCell ref="A1:K1"/>
    <mergeCell ref="A3:K3"/>
    <mergeCell ref="A7:C7"/>
    <mergeCell ref="A12:K12"/>
    <mergeCell ref="B13:K13"/>
  </mergeCell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EDA_Index</vt:lpstr>
      <vt:lpstr>EDA_Q1</vt:lpstr>
      <vt:lpstr>EDA_Q2</vt:lpstr>
      <vt:lpstr>EDA_Q3</vt:lpstr>
      <vt:lpstr>EDA_Q4</vt:lpstr>
      <vt:lpstr>EDA_Q5</vt:lpstr>
      <vt:lpstr>EDA_Q6</vt:lpstr>
      <vt:lpstr>EDA_Q7</vt:lpstr>
      <vt:lpstr>EDA_Q8</vt:lpstr>
      <vt:lpstr>EDA_Q9</vt:lpstr>
      <vt:lpstr>EDA_Q10</vt:lpstr>
      <vt:lpstr>EDA_Q11</vt:lpstr>
      <vt:lpstr>EDA_Q12</vt:lpstr>
      <vt:lpstr>EDA_Q13</vt:lpstr>
      <vt:lpstr>EDA_Q14</vt:lpstr>
      <vt:lpstr>EDA_Q15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Madhur Sisodiya</cp:lastModifiedBy>
  <cp:revision>2</cp:revision>
  <dcterms:created xsi:type="dcterms:W3CDTF">2026-05-01T20:11:45Z</dcterms:created>
  <dcterms:modified xsi:type="dcterms:W3CDTF">2026-05-02T20:04:54Z</dcterms:modified>
  <dc:language>en-US</dc:language>
</cp:coreProperties>
</file>